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spaper_municipality_map" sheetId="1" state="visible" r:id="rId3"/>
    <sheet name="codebook" sheetId="2" state="visible" r:id="rId4"/>
    <sheet name="municipality_reference" sheetId="3" state="visible" r:id="rId5"/>
  </sheets>
  <definedNames>
    <definedName function="false" hidden="true" localSheetId="0" name="_xlnm._FilterDatabase" vbProcedure="false">newspaper_municipality_map!$A$1:$M$61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<sst xmlns="http://schemas.openxmlformats.org/spreadsheetml/2006/main" count="878" uniqueCount="255">
  <si>
    <t xml:space="preserve">newspaper_id</t>
  </si>
  <si>
    <t xml:space="preserve">newspaper_name</t>
  </si>
  <si>
    <t xml:space="preserve">publisher</t>
  </si>
  <si>
    <t xml:space="preserve">kommune_kode</t>
  </si>
  <si>
    <t xml:space="preserve">kommune_name</t>
  </si>
  <si>
    <t xml:space="preserve">region</t>
  </si>
  <si>
    <t xml:space="preserve">frequency</t>
  </si>
  <si>
    <t xml:space="preserve">type</t>
  </si>
  <si>
    <t xml:space="preserve">distribution</t>
  </si>
  <si>
    <t xml:space="preserve">est_circulation</t>
  </si>
  <si>
    <t xml:space="preserve">has_website</t>
  </si>
  <si>
    <t xml:space="preserve">source</t>
  </si>
  <si>
    <t xml:space="preserve">notes</t>
  </si>
  <si>
    <t xml:space="preserve">NP001</t>
  </si>
  <si>
    <t xml:space="preserve">Ugeavisen Haderslev</t>
  </si>
  <si>
    <t xml:space="preserve">JFM</t>
  </si>
  <si>
    <t xml:space="preserve">Haderslev</t>
  </si>
  <si>
    <t xml:space="preserve">Syddanmark</t>
  </si>
  <si>
    <t xml:space="preserve">weekly</t>
  </si>
  <si>
    <t xml:space="preserve">free</t>
  </si>
  <si>
    <t xml:space="preserve">local</t>
  </si>
  <si>
    <t xml:space="preserve">yes</t>
  </si>
  <si>
    <t xml:space="preserve">ugeavisen.dk</t>
  </si>
  <si>
    <t xml:space="preserve">NP002</t>
  </si>
  <si>
    <t xml:space="preserve">Ugeavisen Aabenraa</t>
  </si>
  <si>
    <t xml:space="preserve">Aabenraa</t>
  </si>
  <si>
    <t xml:space="preserve">ugeavisen.dk + MediaVejviseren</t>
  </si>
  <si>
    <t xml:space="preserve">Også kaldet Aabenraa Ugeavis</t>
  </si>
  <si>
    <t xml:space="preserve">NP003</t>
  </si>
  <si>
    <t xml:space="preserve">Ugeavisen Sønderborg</t>
  </si>
  <si>
    <t xml:space="preserve">Sønderborg</t>
  </si>
  <si>
    <t xml:space="preserve">Også kaldet Sønderborg Ugeavis</t>
  </si>
  <si>
    <t xml:space="preserve">NP004</t>
  </si>
  <si>
    <t xml:space="preserve">Ugeavisen Tønder</t>
  </si>
  <si>
    <t xml:space="preserve">Tønder</t>
  </si>
  <si>
    <t xml:space="preserve">NP005</t>
  </si>
  <si>
    <t xml:space="preserve">Ugeavisen Kolding</t>
  </si>
  <si>
    <t xml:space="preserve">Kolding</t>
  </si>
  <si>
    <t xml:space="preserve">NP006</t>
  </si>
  <si>
    <t xml:space="preserve">Ugeavisen Esbjerg</t>
  </si>
  <si>
    <t xml:space="preserve">Esbjerg</t>
  </si>
  <si>
    <t xml:space="preserve">NP007</t>
  </si>
  <si>
    <t xml:space="preserve">Ugeavisen Varde</t>
  </si>
  <si>
    <t xml:space="preserve">Varde</t>
  </si>
  <si>
    <t xml:space="preserve">NP008</t>
  </si>
  <si>
    <t xml:space="preserve">Ugeavisen Vejen</t>
  </si>
  <si>
    <t xml:space="preserve">Vejen</t>
  </si>
  <si>
    <t xml:space="preserve">NP009</t>
  </si>
  <si>
    <t xml:space="preserve">Ugeavisen Billund-Grindsted</t>
  </si>
  <si>
    <t xml:space="preserve">Billund</t>
  </si>
  <si>
    <t xml:space="preserve">NP010</t>
  </si>
  <si>
    <t xml:space="preserve">Ugeavisen Vejle</t>
  </si>
  <si>
    <t xml:space="preserve">Vejle</t>
  </si>
  <si>
    <t xml:space="preserve">NP011</t>
  </si>
  <si>
    <t xml:space="preserve">Ugeavisen Bramming</t>
  </si>
  <si>
    <t xml:space="preserve">Dækker Bramming-området i Esbjerg Kommune</t>
  </si>
  <si>
    <t xml:space="preserve">NP012</t>
  </si>
  <si>
    <t xml:space="preserve">Ugeavisen Ribe</t>
  </si>
  <si>
    <t xml:space="preserve">Dækker Ribe-området i Esbjerg Kommune</t>
  </si>
  <si>
    <t xml:space="preserve">NP013</t>
  </si>
  <si>
    <t xml:space="preserve">ElboBladet</t>
  </si>
  <si>
    <t xml:space="preserve">Fredericia</t>
  </si>
  <si>
    <t xml:space="preserve">MediaVejviseren</t>
  </si>
  <si>
    <t xml:space="preserve">Dækker Fredericia og omegn</t>
  </si>
  <si>
    <t xml:space="preserve">NP014</t>
  </si>
  <si>
    <t xml:space="preserve">Trekantens Folkeblad</t>
  </si>
  <si>
    <t xml:space="preserve">regional</t>
  </si>
  <si>
    <t xml:space="preserve">Dækker Trekantområdet</t>
  </si>
  <si>
    <t xml:space="preserve">NP015</t>
  </si>
  <si>
    <t xml:space="preserve">Jelling Ugeavis</t>
  </si>
  <si>
    <t xml:space="preserve">Dækker Jelling-området i Vejle Kommune</t>
  </si>
  <si>
    <t xml:space="preserve">NP016</t>
  </si>
  <si>
    <t xml:space="preserve">Horsens Posten</t>
  </si>
  <si>
    <t xml:space="preserve">Horsens</t>
  </si>
  <si>
    <t xml:space="preserve">Ugeavis for Horsens</t>
  </si>
  <si>
    <t xml:space="preserve">NP020</t>
  </si>
  <si>
    <t xml:space="preserve">Ugeavisen Odense</t>
  </si>
  <si>
    <t xml:space="preserve">Odense</t>
  </si>
  <si>
    <t xml:space="preserve">NP021</t>
  </si>
  <si>
    <t xml:space="preserve">Ugeavisen Svendborg</t>
  </si>
  <si>
    <t xml:space="preserve">Svendborg</t>
  </si>
  <si>
    <t xml:space="preserve">NP022</t>
  </si>
  <si>
    <t xml:space="preserve">Ugeavisen Faaborg</t>
  </si>
  <si>
    <t xml:space="preserve">Faaborg-Midtfyn</t>
  </si>
  <si>
    <t xml:space="preserve">NP023</t>
  </si>
  <si>
    <t xml:space="preserve">Kerteminde Ugeavis</t>
  </si>
  <si>
    <t xml:space="preserve">Kerteminde</t>
  </si>
  <si>
    <t xml:space="preserve">NP024</t>
  </si>
  <si>
    <t xml:space="preserve">LokalAvisen Nyborg</t>
  </si>
  <si>
    <t xml:space="preserve">Nyborg</t>
  </si>
  <si>
    <t xml:space="preserve">NP025</t>
  </si>
  <si>
    <t xml:space="preserve">LokalAvisen Assens</t>
  </si>
  <si>
    <t xml:space="preserve">Assens</t>
  </si>
  <si>
    <t xml:space="preserve">NP026</t>
  </si>
  <si>
    <t xml:space="preserve">UgeAvisen Nordfyn</t>
  </si>
  <si>
    <t xml:space="preserve">Nordfyns</t>
  </si>
  <si>
    <t xml:space="preserve">Evt. også kaldet Område Avisen Nordfyn</t>
  </si>
  <si>
    <t xml:space="preserve">NP027</t>
  </si>
  <si>
    <t xml:space="preserve">Midtfyns Posten</t>
  </si>
  <si>
    <t xml:space="preserve">Dækker Ringe/Midtfyn-området</t>
  </si>
  <si>
    <t xml:space="preserve">NP028</t>
  </si>
  <si>
    <t xml:space="preserve">Ugeavisen Øboen</t>
  </si>
  <si>
    <t xml:space="preserve">Langeland</t>
  </si>
  <si>
    <t xml:space="preserve">NP029</t>
  </si>
  <si>
    <t xml:space="preserve">Melfar Posten</t>
  </si>
  <si>
    <t xml:space="preserve">Middelfart</t>
  </si>
  <si>
    <t xml:space="preserve">NP040</t>
  </si>
  <si>
    <t xml:space="preserve">Der Nordschleswiger</t>
  </si>
  <si>
    <t xml:space="preserve">BDN/Deutscher Presseverein</t>
  </si>
  <si>
    <t xml:space="preserve">digital</t>
  </si>
  <si>
    <t xml:space="preserve">Wikipedia + nordschleswig.dk</t>
  </si>
  <si>
    <t xml:space="preserve">Tysksproget; lokalredaktion i Haderslev</t>
  </si>
  <si>
    <t xml:space="preserve">Lokalredaktion i Sønderborg</t>
  </si>
  <si>
    <t xml:space="preserve">Hovedredaktion i Aabenraa</t>
  </si>
  <si>
    <t xml:space="preserve">Lokalredaktion i Tønder</t>
  </si>
  <si>
    <t xml:space="preserve">NP041</t>
  </si>
  <si>
    <t xml:space="preserve">Sydnyt.dk</t>
  </si>
  <si>
    <t xml:space="preserve">Uafhængig</t>
  </si>
  <si>
    <t xml:space="preserve">sydnyt.dk</t>
  </si>
  <si>
    <t xml:space="preserve">Gratis online nyhedsmedie for Sønderjylland</t>
  </si>
  <si>
    <t xml:space="preserve">NP042</t>
  </si>
  <si>
    <t xml:space="preserve">AVISEN for Gråsten, Lundtoft og Sundeved</t>
  </si>
  <si>
    <t xml:space="preserve">Ukendt</t>
  </si>
  <si>
    <t xml:space="preserve">Hyperlokal; dækker dele af Sønderborg Kommune</t>
  </si>
  <si>
    <t xml:space="preserve">NP050</t>
  </si>
  <si>
    <t xml:space="preserve">JydskeVestkysten</t>
  </si>
  <si>
    <t xml:space="preserve">daily</t>
  </si>
  <si>
    <t xml:space="preserve">paid</t>
  </si>
  <si>
    <t xml:space="preserve">jv.dk</t>
  </si>
  <si>
    <t xml:space="preserve">Regionalt dagblad med lokalsektioner; OVERVEJ OM DISSE SKAL TÆLLES MED</t>
  </si>
  <si>
    <t xml:space="preserve">NP051</t>
  </si>
  <si>
    <t xml:space="preserve">Fyens Stiftstidende</t>
  </si>
  <si>
    <t xml:space="preserve">fyens.dk</t>
  </si>
  <si>
    <t xml:space="preserve">Regionalt dagblad for Fyn</t>
  </si>
  <si>
    <t xml:space="preserve">Ærø</t>
  </si>
  <si>
    <t xml:space="preserve">NP052</t>
  </si>
  <si>
    <t xml:space="preserve">Vejle Amts Folkeblad</t>
  </si>
  <si>
    <t xml:space="preserve">vafo.dk</t>
  </si>
  <si>
    <t xml:space="preserve">NP053</t>
  </si>
  <si>
    <t xml:space="preserve">Fredericia Dagblad</t>
  </si>
  <si>
    <t xml:space="preserve">frdb.dk</t>
  </si>
  <si>
    <t xml:space="preserve">NP054</t>
  </si>
  <si>
    <t xml:space="preserve">Horsens Folkeblad</t>
  </si>
  <si>
    <t xml:space="preserve">horsensfolkeblad.dk</t>
  </si>
  <si>
    <t xml:space="preserve">Field</t>
  </si>
  <si>
    <t xml:space="preserve">Description</t>
  </si>
  <si>
    <t xml:space="preserve">Valid Values</t>
  </si>
  <si>
    <t xml:space="preserve">Unique ID per newspaper (NOT per row). One paper covering 3 municipalities = 3 rows, same ID.</t>
  </si>
  <si>
    <t xml:space="preserve">NP001, NP002, ...</t>
  </si>
  <si>
    <t xml:space="preserve">Full name of the newspaper</t>
  </si>
  <si>
    <t xml:space="preserve">Free text</t>
  </si>
  <si>
    <t xml:space="preserve">Publishing company or owner</t>
  </si>
  <si>
    <t xml:space="preserve">Free text (e.g., Jysk Fynske Medier)</t>
  </si>
  <si>
    <t xml:space="preserve">Official municipality code from Danmarks Statistik</t>
  </si>
  <si>
    <t xml:space="preserve">3-digit integer (see municipality_reference sheet)</t>
  </si>
  <si>
    <t xml:space="preserve">Municipality name</t>
  </si>
  <si>
    <t xml:space="preserve">Must match dk_municipalities.csv</t>
  </si>
  <si>
    <t xml:space="preserve">Administrative region</t>
  </si>
  <si>
    <t xml:space="preserve">Hovedstaden | Sjælland | Syddanmark | Midtjylland | Nordjylland</t>
  </si>
  <si>
    <t xml:space="preserve">Publication frequency</t>
  </si>
  <si>
    <t xml:space="preserve">daily | weekly | biweekly | monthly</t>
  </si>
  <si>
    <t xml:space="preserve">Business model</t>
  </si>
  <si>
    <t xml:space="preserve">paid | free | hybrid</t>
  </si>
  <si>
    <t xml:space="preserve">Geographic scope of the paper</t>
  </si>
  <si>
    <t xml:space="preserve">local | regional | national</t>
  </si>
  <si>
    <t xml:space="preserve">Estimated circulation if known</t>
  </si>
  <si>
    <t xml:space="preserve">Integer or blank</t>
  </si>
  <si>
    <t xml:space="preserve">Whether the paper has an active website</t>
  </si>
  <si>
    <t xml:space="preserve">yes | no | unknown</t>
  </si>
  <si>
    <t xml:space="preserve">Where you found this information</t>
  </si>
  <si>
    <t xml:space="preserve">MediaVejviseren | mediernesudvikling.kum.dk | website | other</t>
  </si>
  <si>
    <t xml:space="preserve">Any additional context</t>
  </si>
  <si>
    <t xml:space="preserve">population_approx</t>
  </si>
  <si>
    <t xml:space="preserve">newspaper_count</t>
  </si>
  <si>
    <t xml:space="preserve">papers_per_10k</t>
  </si>
  <si>
    <t xml:space="preserve">København</t>
  </si>
  <si>
    <t xml:space="preserve">Hovedstaden</t>
  </si>
  <si>
    <t xml:space="preserve">Frederiksberg</t>
  </si>
  <si>
    <t xml:space="preserve">Ballerup</t>
  </si>
  <si>
    <t xml:space="preserve">Brøndby</t>
  </si>
  <si>
    <t xml:space="preserve">Dragør</t>
  </si>
  <si>
    <t xml:space="preserve">Gentofte</t>
  </si>
  <si>
    <t xml:space="preserve">Gladsaxe</t>
  </si>
  <si>
    <t xml:space="preserve">Glostrup</t>
  </si>
  <si>
    <t xml:space="preserve">Herlev</t>
  </si>
  <si>
    <t xml:space="preserve">Albertslund</t>
  </si>
  <si>
    <t xml:space="preserve">Hvidovre</t>
  </si>
  <si>
    <t xml:space="preserve">Høje-Taastrup</t>
  </si>
  <si>
    <t xml:space="preserve">Lyngby-Taarbæk</t>
  </si>
  <si>
    <t xml:space="preserve">Rødovre</t>
  </si>
  <si>
    <t xml:space="preserve">Ishøj</t>
  </si>
  <si>
    <t xml:space="preserve">Tårnby</t>
  </si>
  <si>
    <t xml:space="preserve">Vallensbæk</t>
  </si>
  <si>
    <t xml:space="preserve">Furesø</t>
  </si>
  <si>
    <t xml:space="preserve">Allerød</t>
  </si>
  <si>
    <t xml:space="preserve">Fredensborg</t>
  </si>
  <si>
    <t xml:space="preserve">Helsingør</t>
  </si>
  <si>
    <t xml:space="preserve">Hillerød</t>
  </si>
  <si>
    <t xml:space="preserve">Hørsholm</t>
  </si>
  <si>
    <t xml:space="preserve">Rudersdal</t>
  </si>
  <si>
    <t xml:space="preserve">Egedal</t>
  </si>
  <si>
    <t xml:space="preserve">Frederikssund</t>
  </si>
  <si>
    <t xml:space="preserve">Halsnæs</t>
  </si>
  <si>
    <t xml:space="preserve">Gribskov</t>
  </si>
  <si>
    <t xml:space="preserve">Bornholm</t>
  </si>
  <si>
    <t xml:space="preserve">Greve</t>
  </si>
  <si>
    <t xml:space="preserve">Sjælland</t>
  </si>
  <si>
    <t xml:space="preserve">Køge</t>
  </si>
  <si>
    <t xml:space="preserve">Roskilde</t>
  </si>
  <si>
    <t xml:space="preserve">Solrød</t>
  </si>
  <si>
    <t xml:space="preserve">Odsherred</t>
  </si>
  <si>
    <t xml:space="preserve">Holbæk</t>
  </si>
  <si>
    <t xml:space="preserve">Faxe</t>
  </si>
  <si>
    <t xml:space="preserve">Kalundborg</t>
  </si>
  <si>
    <t xml:space="preserve">Ringsted</t>
  </si>
  <si>
    <t xml:space="preserve">Slagelse</t>
  </si>
  <si>
    <t xml:space="preserve">Stevns</t>
  </si>
  <si>
    <t xml:space="preserve">Sorø</t>
  </si>
  <si>
    <t xml:space="preserve">Lejre</t>
  </si>
  <si>
    <t xml:space="preserve">Lolland</t>
  </si>
  <si>
    <t xml:space="preserve">Næstved</t>
  </si>
  <si>
    <t xml:space="preserve">Guldborgsund</t>
  </si>
  <si>
    <t xml:space="preserve">Vordingborg</t>
  </si>
  <si>
    <t xml:space="preserve">Fanø</t>
  </si>
  <si>
    <t xml:space="preserve">Herning</t>
  </si>
  <si>
    <t xml:space="preserve">Midtjylland</t>
  </si>
  <si>
    <t xml:space="preserve">Holstebro</t>
  </si>
  <si>
    <t xml:space="preserve">Lemvig</t>
  </si>
  <si>
    <t xml:space="preserve">Struer</t>
  </si>
  <si>
    <t xml:space="preserve">Syddjurs</t>
  </si>
  <si>
    <t xml:space="preserve">Norddjurs</t>
  </si>
  <si>
    <t xml:space="preserve">Favrskov</t>
  </si>
  <si>
    <t xml:space="preserve">Odder</t>
  </si>
  <si>
    <t xml:space="preserve">Randers</t>
  </si>
  <si>
    <t xml:space="preserve">Silkeborg</t>
  </si>
  <si>
    <t xml:space="preserve">Samsø</t>
  </si>
  <si>
    <t xml:space="preserve">Skanderborg</t>
  </si>
  <si>
    <t xml:space="preserve">Aarhus</t>
  </si>
  <si>
    <t xml:space="preserve">Ikast-Brande</t>
  </si>
  <si>
    <t xml:space="preserve">Ringkøbing-Skjern</t>
  </si>
  <si>
    <t xml:space="preserve">Hedensted</t>
  </si>
  <si>
    <t xml:space="preserve">Morsø</t>
  </si>
  <si>
    <t xml:space="preserve">Skive</t>
  </si>
  <si>
    <t xml:space="preserve">Thisted</t>
  </si>
  <si>
    <t xml:space="preserve">Viborg</t>
  </si>
  <si>
    <t xml:space="preserve">Brønderslev</t>
  </si>
  <si>
    <t xml:space="preserve">Nordjylland</t>
  </si>
  <si>
    <t xml:space="preserve">Frederikshavn</t>
  </si>
  <si>
    <t xml:space="preserve">Vesthimmerlands</t>
  </si>
  <si>
    <t xml:space="preserve">Læsø</t>
  </si>
  <si>
    <t xml:space="preserve">Rebild</t>
  </si>
  <si>
    <t xml:space="preserve">Mariagerfjord</t>
  </si>
  <si>
    <t xml:space="preserve">Jammerbugt</t>
  </si>
  <si>
    <t xml:space="preserve">Aalborg</t>
  </si>
  <si>
    <t xml:space="preserve">Hjørring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</si>
</sst>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3"/>
    <col collapsed="false" customWidth="true" hidden="false" outlineLevel="0" max="12" min="12" style="1" width="20"/>
    <col collapsed="false" customWidth="true" hidden="false" outlineLevel="0" max="13" min="13" style="1" width="3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3" t="n">
        <v>510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n">
        <v>0</v>
      </c>
      <c r="K2" s="3" t="s">
        <v>21</v>
      </c>
      <c r="L2" s="3" t="s">
        <v>22</v>
      </c>
      <c r="M2" s="3"/>
    </row>
    <row r="3" customFormat="false" ht="15" hidden="false" customHeight="true" outlineLevel="0" collapsed="false">
      <c r="A3" s="3" t="s">
        <v>23</v>
      </c>
      <c r="B3" s="3" t="s">
        <v>24</v>
      </c>
      <c r="C3" s="3" t="s">
        <v>15</v>
      </c>
      <c r="D3" s="3" t="n">
        <v>580</v>
      </c>
      <c r="E3" s="3" t="s">
        <v>25</v>
      </c>
      <c r="F3" s="3" t="s">
        <v>17</v>
      </c>
      <c r="G3" s="3" t="s">
        <v>18</v>
      </c>
      <c r="H3" s="3" t="s">
        <v>19</v>
      </c>
      <c r="I3" s="3" t="s">
        <v>20</v>
      </c>
      <c r="J3" s="3" t="n">
        <v>30000</v>
      </c>
      <c r="K3" s="3" t="s">
        <v>21</v>
      </c>
      <c r="L3" s="3" t="s">
        <v>26</v>
      </c>
      <c r="M3" s="3" t="s">
        <v>27</v>
      </c>
    </row>
    <row r="4" customFormat="false" ht="15" hidden="false" customHeight="true" outlineLevel="0" collapsed="false">
      <c r="A4" s="3" t="s">
        <v>28</v>
      </c>
      <c r="B4" s="3" t="s">
        <v>29</v>
      </c>
      <c r="C4" s="3" t="s">
        <v>15</v>
      </c>
      <c r="D4" s="3" t="n">
        <v>540</v>
      </c>
      <c r="E4" s="3" t="s">
        <v>30</v>
      </c>
      <c r="F4" s="3" t="s">
        <v>17</v>
      </c>
      <c r="G4" s="3" t="s">
        <v>18</v>
      </c>
      <c r="H4" s="3" t="s">
        <v>19</v>
      </c>
      <c r="I4" s="3" t="s">
        <v>20</v>
      </c>
      <c r="J4" s="3" t="n">
        <v>0</v>
      </c>
      <c r="K4" s="3" t="s">
        <v>21</v>
      </c>
      <c r="L4" s="3" t="s">
        <v>22</v>
      </c>
      <c r="M4" s="3" t="s">
        <v>31</v>
      </c>
    </row>
    <row r="5" customFormat="false" ht="15" hidden="false" customHeight="true" outlineLevel="0" collapsed="false">
      <c r="A5" s="3" t="s">
        <v>32</v>
      </c>
      <c r="B5" s="3" t="s">
        <v>33</v>
      </c>
      <c r="C5" s="3" t="s">
        <v>15</v>
      </c>
      <c r="D5" s="3" t="n">
        <v>550</v>
      </c>
      <c r="E5" s="3" t="s">
        <v>34</v>
      </c>
      <c r="F5" s="3" t="s">
        <v>17</v>
      </c>
      <c r="G5" s="3" t="s">
        <v>18</v>
      </c>
      <c r="H5" s="3" t="s">
        <v>19</v>
      </c>
      <c r="I5" s="3" t="s">
        <v>20</v>
      </c>
      <c r="J5" s="3" t="n">
        <v>0</v>
      </c>
      <c r="K5" s="3" t="s">
        <v>21</v>
      </c>
      <c r="L5" s="3" t="s">
        <v>22</v>
      </c>
      <c r="M5" s="3"/>
    </row>
    <row r="6" customFormat="false" ht="15" hidden="false" customHeight="true" outlineLevel="0" collapsed="false">
      <c r="A6" s="3" t="s">
        <v>35</v>
      </c>
      <c r="B6" s="3" t="s">
        <v>36</v>
      </c>
      <c r="C6" s="3" t="s">
        <v>15</v>
      </c>
      <c r="D6" s="3" t="n">
        <v>621</v>
      </c>
      <c r="E6" s="3" t="s">
        <v>37</v>
      </c>
      <c r="F6" s="3" t="s">
        <v>17</v>
      </c>
      <c r="G6" s="3" t="s">
        <v>18</v>
      </c>
      <c r="H6" s="3" t="s">
        <v>19</v>
      </c>
      <c r="I6" s="3" t="s">
        <v>20</v>
      </c>
      <c r="J6" s="3" t="n">
        <v>41000</v>
      </c>
      <c r="K6" s="3" t="s">
        <v>21</v>
      </c>
      <c r="L6" s="3" t="s">
        <v>26</v>
      </c>
      <c r="M6" s="3"/>
    </row>
    <row r="7" customFormat="false" ht="15" hidden="false" customHeight="false" outlineLevel="0" collapsed="false">
      <c r="A7" s="4" t="s">
        <v>38</v>
      </c>
      <c r="B7" s="4" t="s">
        <v>39</v>
      </c>
      <c r="C7" s="4" t="s">
        <v>15</v>
      </c>
      <c r="D7" s="4" t="n">
        <v>561</v>
      </c>
      <c r="E7" s="4" t="s">
        <v>40</v>
      </c>
      <c r="F7" s="4" t="s">
        <v>17</v>
      </c>
      <c r="G7" s="4" t="s">
        <v>18</v>
      </c>
      <c r="H7" s="4" t="s">
        <v>19</v>
      </c>
      <c r="I7" s="4" t="s">
        <v>20</v>
      </c>
      <c r="J7" s="4" t="n">
        <v>0</v>
      </c>
      <c r="K7" s="4" t="s">
        <v>21</v>
      </c>
      <c r="L7" s="4" t="s">
        <v>22</v>
      </c>
      <c r="M7" s="4"/>
    </row>
    <row r="8" customFormat="false" ht="15" hidden="false" customHeight="false" outlineLevel="0" collapsed="false">
      <c r="A8" s="4" t="s">
        <v>41</v>
      </c>
      <c r="B8" s="4" t="s">
        <v>42</v>
      </c>
      <c r="C8" s="4" t="s">
        <v>15</v>
      </c>
      <c r="D8" s="4" t="n">
        <v>573</v>
      </c>
      <c r="E8" s="4" t="s">
        <v>43</v>
      </c>
      <c r="F8" s="4" t="s">
        <v>17</v>
      </c>
      <c r="G8" s="4" t="s">
        <v>18</v>
      </c>
      <c r="H8" s="4" t="s">
        <v>19</v>
      </c>
      <c r="I8" s="4" t="s">
        <v>20</v>
      </c>
      <c r="J8" s="4" t="n">
        <v>0</v>
      </c>
      <c r="K8" s="4" t="s">
        <v>21</v>
      </c>
      <c r="L8" s="4" t="s">
        <v>22</v>
      </c>
      <c r="M8" s="4"/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15</v>
      </c>
      <c r="D9" s="4" t="n">
        <v>575</v>
      </c>
      <c r="E9" s="4" t="s">
        <v>46</v>
      </c>
      <c r="F9" s="4" t="s">
        <v>17</v>
      </c>
      <c r="G9" s="4" t="s">
        <v>18</v>
      </c>
      <c r="H9" s="4" t="s">
        <v>19</v>
      </c>
      <c r="I9" s="4" t="s">
        <v>20</v>
      </c>
      <c r="J9" s="4" t="n">
        <v>0</v>
      </c>
      <c r="K9" s="4" t="s">
        <v>21</v>
      </c>
      <c r="L9" s="4" t="s">
        <v>22</v>
      </c>
      <c r="M9" s="4"/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15</v>
      </c>
      <c r="D10" s="4" t="n">
        <v>530</v>
      </c>
      <c r="E10" s="4" t="s">
        <v>49</v>
      </c>
      <c r="F10" s="4" t="s">
        <v>17</v>
      </c>
      <c r="G10" s="4" t="s">
        <v>18</v>
      </c>
      <c r="H10" s="4" t="s">
        <v>19</v>
      </c>
      <c r="I10" s="4" t="s">
        <v>20</v>
      </c>
      <c r="J10" s="4" t="n">
        <v>0</v>
      </c>
      <c r="K10" s="4" t="s">
        <v>21</v>
      </c>
      <c r="L10" s="4" t="s">
        <v>22</v>
      </c>
      <c r="M10" s="4"/>
    </row>
    <row r="11" customFormat="false" ht="15" hidden="false" customHeight="false" outlineLevel="0" collapsed="false">
      <c r="A11" s="4" t="s">
        <v>50</v>
      </c>
      <c r="B11" s="4" t="s">
        <v>51</v>
      </c>
      <c r="C11" s="4" t="s">
        <v>15</v>
      </c>
      <c r="D11" s="4" t="n">
        <v>630</v>
      </c>
      <c r="E11" s="4" t="s">
        <v>52</v>
      </c>
      <c r="F11" s="4" t="s">
        <v>17</v>
      </c>
      <c r="G11" s="4" t="s">
        <v>18</v>
      </c>
      <c r="H11" s="4" t="s">
        <v>19</v>
      </c>
      <c r="I11" s="4" t="s">
        <v>20</v>
      </c>
      <c r="J11" s="4" t="n">
        <v>0</v>
      </c>
      <c r="K11" s="4" t="s">
        <v>21</v>
      </c>
      <c r="L11" s="4" t="s">
        <v>22</v>
      </c>
      <c r="M11" s="4"/>
    </row>
    <row r="12" customFormat="false" ht="15" hidden="false" customHeight="false" outlineLevel="0" collapsed="false">
      <c r="A12" s="4" t="s">
        <v>53</v>
      </c>
      <c r="B12" s="4" t="s">
        <v>54</v>
      </c>
      <c r="C12" s="4" t="s">
        <v>15</v>
      </c>
      <c r="D12" s="4" t="n">
        <v>561</v>
      </c>
      <c r="E12" s="4" t="s">
        <v>40</v>
      </c>
      <c r="F12" s="4" t="s">
        <v>17</v>
      </c>
      <c r="G12" s="4" t="s">
        <v>18</v>
      </c>
      <c r="H12" s="4" t="s">
        <v>19</v>
      </c>
      <c r="I12" s="4" t="s">
        <v>20</v>
      </c>
      <c r="J12" s="4" t="n">
        <v>0</v>
      </c>
      <c r="K12" s="4" t="s">
        <v>21</v>
      </c>
      <c r="L12" s="4" t="s">
        <v>22</v>
      </c>
      <c r="M12" s="4" t="s">
        <v>55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4" t="s">
        <v>15</v>
      </c>
      <c r="D13" s="4" t="n">
        <v>561</v>
      </c>
      <c r="E13" s="4" t="s">
        <v>40</v>
      </c>
      <c r="F13" s="4" t="s">
        <v>17</v>
      </c>
      <c r="G13" s="4" t="s">
        <v>18</v>
      </c>
      <c r="H13" s="4" t="s">
        <v>19</v>
      </c>
      <c r="I13" s="4" t="s">
        <v>20</v>
      </c>
      <c r="J13" s="4" t="n">
        <v>0</v>
      </c>
      <c r="K13" s="4" t="s">
        <v>21</v>
      </c>
      <c r="L13" s="4" t="s">
        <v>22</v>
      </c>
      <c r="M13" s="4" t="s">
        <v>58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4" t="s">
        <v>15</v>
      </c>
      <c r="D14" s="4" t="n">
        <v>607</v>
      </c>
      <c r="E14" s="4" t="s">
        <v>61</v>
      </c>
      <c r="F14" s="4" t="s">
        <v>17</v>
      </c>
      <c r="G14" s="4" t="s">
        <v>18</v>
      </c>
      <c r="H14" s="4" t="s">
        <v>19</v>
      </c>
      <c r="I14" s="4" t="s">
        <v>20</v>
      </c>
      <c r="J14" s="4" t="n">
        <v>38000</v>
      </c>
      <c r="K14" s="4" t="s">
        <v>21</v>
      </c>
      <c r="L14" s="4" t="s">
        <v>62</v>
      </c>
      <c r="M14" s="4" t="s">
        <v>63</v>
      </c>
    </row>
    <row r="15" customFormat="false" ht="15" hidden="false" customHeight="false" outlineLevel="0" collapsed="false">
      <c r="A15" s="4" t="s">
        <v>64</v>
      </c>
      <c r="B15" s="4" t="s">
        <v>65</v>
      </c>
      <c r="C15" s="4" t="s">
        <v>15</v>
      </c>
      <c r="D15" s="4" t="n">
        <v>607</v>
      </c>
      <c r="E15" s="4" t="s">
        <v>61</v>
      </c>
      <c r="F15" s="4" t="s">
        <v>17</v>
      </c>
      <c r="G15" s="4" t="s">
        <v>18</v>
      </c>
      <c r="H15" s="4" t="s">
        <v>19</v>
      </c>
      <c r="I15" s="4" t="s">
        <v>66</v>
      </c>
      <c r="J15" s="4" t="n">
        <v>0</v>
      </c>
      <c r="K15" s="4" t="s">
        <v>21</v>
      </c>
      <c r="L15" s="4" t="s">
        <v>22</v>
      </c>
      <c r="M15" s="4" t="s">
        <v>67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15</v>
      </c>
      <c r="D16" s="4" t="n">
        <v>621</v>
      </c>
      <c r="E16" s="4" t="s">
        <v>37</v>
      </c>
      <c r="F16" s="4" t="s">
        <v>17</v>
      </c>
      <c r="G16" s="4" t="s">
        <v>18</v>
      </c>
      <c r="H16" s="4" t="s">
        <v>19</v>
      </c>
      <c r="I16" s="4" t="s">
        <v>66</v>
      </c>
      <c r="J16" s="4" t="n">
        <v>0</v>
      </c>
      <c r="K16" s="4" t="s">
        <v>21</v>
      </c>
      <c r="L16" s="4" t="s">
        <v>22</v>
      </c>
      <c r="M16" s="4" t="s">
        <v>67</v>
      </c>
    </row>
    <row r="17" customFormat="false" ht="15" hidden="false" customHeight="false" outlineLevel="0" collapsed="false">
      <c r="A17" s="4" t="s">
        <v>64</v>
      </c>
      <c r="B17" s="4" t="s">
        <v>65</v>
      </c>
      <c r="C17" s="4" t="s">
        <v>15</v>
      </c>
      <c r="D17" s="4" t="n">
        <v>630</v>
      </c>
      <c r="E17" s="4" t="s">
        <v>52</v>
      </c>
      <c r="F17" s="4" t="s">
        <v>17</v>
      </c>
      <c r="G17" s="4" t="s">
        <v>18</v>
      </c>
      <c r="H17" s="4" t="s">
        <v>19</v>
      </c>
      <c r="I17" s="4" t="s">
        <v>66</v>
      </c>
      <c r="J17" s="4" t="n">
        <v>0</v>
      </c>
      <c r="K17" s="4" t="s">
        <v>21</v>
      </c>
      <c r="L17" s="4" t="s">
        <v>22</v>
      </c>
      <c r="M17" s="4" t="s">
        <v>67</v>
      </c>
    </row>
    <row r="18" customFormat="false" ht="15" hidden="false" customHeight="false" outlineLevel="0" collapsed="false">
      <c r="A18" s="4" t="s">
        <v>68</v>
      </c>
      <c r="B18" s="4" t="s">
        <v>69</v>
      </c>
      <c r="C18" s="4" t="s">
        <v>15</v>
      </c>
      <c r="D18" s="4" t="n">
        <v>630</v>
      </c>
      <c r="E18" s="4" t="s">
        <v>52</v>
      </c>
      <c r="F18" s="4" t="s">
        <v>17</v>
      </c>
      <c r="G18" s="4" t="s">
        <v>18</v>
      </c>
      <c r="H18" s="4" t="s">
        <v>19</v>
      </c>
      <c r="I18" s="4" t="s">
        <v>20</v>
      </c>
      <c r="J18" s="4" t="n">
        <v>0</v>
      </c>
      <c r="K18" s="4" t="s">
        <v>21</v>
      </c>
      <c r="L18" s="4" t="s">
        <v>22</v>
      </c>
      <c r="M18" s="4" t="s">
        <v>70</v>
      </c>
    </row>
    <row r="19" customFormat="false" ht="15" hidden="false" customHeight="false" outlineLevel="0" collapsed="false">
      <c r="A19" s="4" t="s">
        <v>71</v>
      </c>
      <c r="B19" s="4" t="s">
        <v>72</v>
      </c>
      <c r="C19" s="4" t="s">
        <v>15</v>
      </c>
      <c r="D19" s="4" t="n">
        <v>615</v>
      </c>
      <c r="E19" s="4" t="s">
        <v>73</v>
      </c>
      <c r="F19" s="4" t="s">
        <v>17</v>
      </c>
      <c r="G19" s="4" t="s">
        <v>18</v>
      </c>
      <c r="H19" s="4" t="s">
        <v>19</v>
      </c>
      <c r="I19" s="4" t="s">
        <v>20</v>
      </c>
      <c r="J19" s="4" t="n">
        <v>0</v>
      </c>
      <c r="K19" s="4" t="s">
        <v>21</v>
      </c>
      <c r="L19" s="4" t="s">
        <v>22</v>
      </c>
      <c r="M19" s="4" t="s">
        <v>74</v>
      </c>
    </row>
    <row r="20" customFormat="false" ht="15" hidden="false" customHeight="false" outlineLevel="0" collapsed="false">
      <c r="A20" s="4" t="s">
        <v>75</v>
      </c>
      <c r="B20" s="4" t="s">
        <v>76</v>
      </c>
      <c r="C20" s="4" t="s">
        <v>15</v>
      </c>
      <c r="D20" s="4" t="n">
        <v>461</v>
      </c>
      <c r="E20" s="4" t="s">
        <v>77</v>
      </c>
      <c r="F20" s="4" t="s">
        <v>17</v>
      </c>
      <c r="G20" s="4" t="s">
        <v>18</v>
      </c>
      <c r="H20" s="4" t="s">
        <v>19</v>
      </c>
      <c r="I20" s="4" t="s">
        <v>20</v>
      </c>
      <c r="J20" s="4" t="n">
        <v>106000</v>
      </c>
      <c r="K20" s="4" t="s">
        <v>21</v>
      </c>
      <c r="L20" s="4" t="s">
        <v>62</v>
      </c>
      <c r="M20" s="4"/>
    </row>
    <row r="21" customFormat="false" ht="15" hidden="false" customHeight="false" outlineLevel="0" collapsed="false">
      <c r="A21" s="4" t="s">
        <v>78</v>
      </c>
      <c r="B21" s="4" t="s">
        <v>79</v>
      </c>
      <c r="C21" s="4" t="s">
        <v>15</v>
      </c>
      <c r="D21" s="4" t="n">
        <v>479</v>
      </c>
      <c r="E21" s="4" t="s">
        <v>80</v>
      </c>
      <c r="F21" s="4" t="s">
        <v>17</v>
      </c>
      <c r="G21" s="4" t="s">
        <v>18</v>
      </c>
      <c r="H21" s="4" t="s">
        <v>19</v>
      </c>
      <c r="I21" s="4" t="s">
        <v>20</v>
      </c>
      <c r="J21" s="4" t="n">
        <v>0</v>
      </c>
      <c r="K21" s="4" t="s">
        <v>21</v>
      </c>
      <c r="L21" s="4" t="s">
        <v>22</v>
      </c>
      <c r="M21" s="4"/>
    </row>
    <row r="22" customFormat="false" ht="15" hidden="false" customHeight="false" outlineLevel="0" collapsed="false">
      <c r="A22" s="4" t="s">
        <v>81</v>
      </c>
      <c r="B22" s="4" t="s">
        <v>82</v>
      </c>
      <c r="C22" s="4" t="s">
        <v>15</v>
      </c>
      <c r="D22" s="4" t="n">
        <v>430</v>
      </c>
      <c r="E22" s="4" t="s">
        <v>83</v>
      </c>
      <c r="F22" s="4" t="s">
        <v>17</v>
      </c>
      <c r="G22" s="4" t="s">
        <v>18</v>
      </c>
      <c r="H22" s="4" t="s">
        <v>19</v>
      </c>
      <c r="I22" s="4" t="s">
        <v>20</v>
      </c>
      <c r="J22" s="4" t="n">
        <v>0</v>
      </c>
      <c r="K22" s="4" t="s">
        <v>21</v>
      </c>
      <c r="L22" s="4" t="s">
        <v>22</v>
      </c>
      <c r="M22" s="4"/>
    </row>
    <row r="23" customFormat="false" ht="15" hidden="false" customHeight="false" outlineLevel="0" collapsed="false">
      <c r="A23" s="4" t="s">
        <v>84</v>
      </c>
      <c r="B23" s="4" t="s">
        <v>85</v>
      </c>
      <c r="C23" s="4" t="s">
        <v>15</v>
      </c>
      <c r="D23" s="4" t="n">
        <v>440</v>
      </c>
      <c r="E23" s="4" t="s">
        <v>86</v>
      </c>
      <c r="F23" s="4" t="s">
        <v>17</v>
      </c>
      <c r="G23" s="4" t="s">
        <v>18</v>
      </c>
      <c r="H23" s="4" t="s">
        <v>19</v>
      </c>
      <c r="I23" s="4" t="s">
        <v>20</v>
      </c>
      <c r="J23" s="4" t="n">
        <v>0</v>
      </c>
      <c r="K23" s="4" t="s">
        <v>21</v>
      </c>
      <c r="L23" s="4" t="s">
        <v>62</v>
      </c>
      <c r="M23" s="4"/>
    </row>
    <row r="24" customFormat="false" ht="15" hidden="false" customHeight="false" outlineLevel="0" collapsed="false">
      <c r="A24" s="4" t="s">
        <v>87</v>
      </c>
      <c r="B24" s="4" t="s">
        <v>88</v>
      </c>
      <c r="C24" s="4" t="s">
        <v>15</v>
      </c>
      <c r="D24" s="4" t="n">
        <v>450</v>
      </c>
      <c r="E24" s="4" t="s">
        <v>89</v>
      </c>
      <c r="F24" s="4" t="s">
        <v>17</v>
      </c>
      <c r="G24" s="4" t="s">
        <v>18</v>
      </c>
      <c r="H24" s="4" t="s">
        <v>19</v>
      </c>
      <c r="I24" s="4" t="s">
        <v>20</v>
      </c>
      <c r="J24" s="4" t="n">
        <v>0</v>
      </c>
      <c r="K24" s="4" t="s">
        <v>21</v>
      </c>
      <c r="L24" s="4" t="s">
        <v>62</v>
      </c>
      <c r="M24" s="4"/>
    </row>
    <row r="25" customFormat="false" ht="15" hidden="false" customHeight="false" outlineLevel="0" collapsed="false">
      <c r="A25" s="4" t="s">
        <v>90</v>
      </c>
      <c r="B25" s="4" t="s">
        <v>91</v>
      </c>
      <c r="C25" s="4" t="s">
        <v>15</v>
      </c>
      <c r="D25" s="4" t="n">
        <v>420</v>
      </c>
      <c r="E25" s="4" t="s">
        <v>92</v>
      </c>
      <c r="F25" s="4" t="s">
        <v>17</v>
      </c>
      <c r="G25" s="4" t="s">
        <v>18</v>
      </c>
      <c r="H25" s="4" t="s">
        <v>19</v>
      </c>
      <c r="I25" s="4" t="s">
        <v>20</v>
      </c>
      <c r="J25" s="4" t="n">
        <v>0</v>
      </c>
      <c r="K25" s="4" t="s">
        <v>21</v>
      </c>
      <c r="L25" s="4" t="s">
        <v>62</v>
      </c>
      <c r="M25" s="4"/>
    </row>
    <row r="26" customFormat="false" ht="15" hidden="false" customHeight="false" outlineLevel="0" collapsed="false">
      <c r="A26" s="4" t="s">
        <v>93</v>
      </c>
      <c r="B26" s="4" t="s">
        <v>94</v>
      </c>
      <c r="C26" s="4" t="s">
        <v>15</v>
      </c>
      <c r="D26" s="4" t="n">
        <v>480</v>
      </c>
      <c r="E26" s="4" t="s">
        <v>95</v>
      </c>
      <c r="F26" s="4" t="s">
        <v>17</v>
      </c>
      <c r="G26" s="4" t="s">
        <v>18</v>
      </c>
      <c r="H26" s="4" t="s">
        <v>19</v>
      </c>
      <c r="I26" s="4" t="s">
        <v>20</v>
      </c>
      <c r="J26" s="4" t="n">
        <v>0</v>
      </c>
      <c r="K26" s="4" t="s">
        <v>21</v>
      </c>
      <c r="L26" s="4" t="s">
        <v>62</v>
      </c>
      <c r="M26" s="4" t="s">
        <v>96</v>
      </c>
    </row>
    <row r="27" customFormat="false" ht="15" hidden="false" customHeight="false" outlineLevel="0" collapsed="false">
      <c r="A27" s="4" t="s">
        <v>97</v>
      </c>
      <c r="B27" s="4" t="s">
        <v>98</v>
      </c>
      <c r="C27" s="4" t="s">
        <v>15</v>
      </c>
      <c r="D27" s="4" t="n">
        <v>430</v>
      </c>
      <c r="E27" s="4" t="s">
        <v>83</v>
      </c>
      <c r="F27" s="4" t="s">
        <v>17</v>
      </c>
      <c r="G27" s="4" t="s">
        <v>18</v>
      </c>
      <c r="H27" s="4" t="s">
        <v>19</v>
      </c>
      <c r="I27" s="4" t="s">
        <v>20</v>
      </c>
      <c r="J27" s="4" t="n">
        <v>0</v>
      </c>
      <c r="K27" s="4" t="s">
        <v>21</v>
      </c>
      <c r="L27" s="4" t="s">
        <v>62</v>
      </c>
      <c r="M27" s="4" t="s">
        <v>99</v>
      </c>
    </row>
    <row r="28" customFormat="false" ht="15" hidden="false" customHeight="false" outlineLevel="0" collapsed="false">
      <c r="A28" s="4" t="s">
        <v>100</v>
      </c>
      <c r="B28" s="4" t="s">
        <v>101</v>
      </c>
      <c r="C28" s="4" t="s">
        <v>15</v>
      </c>
      <c r="D28" s="4" t="n">
        <v>482</v>
      </c>
      <c r="E28" s="4" t="s">
        <v>102</v>
      </c>
      <c r="F28" s="4" t="s">
        <v>17</v>
      </c>
      <c r="G28" s="4" t="s">
        <v>18</v>
      </c>
      <c r="H28" s="4" t="s">
        <v>19</v>
      </c>
      <c r="I28" s="4" t="s">
        <v>20</v>
      </c>
      <c r="J28" s="4" t="n">
        <v>0</v>
      </c>
      <c r="K28" s="4" t="s">
        <v>21</v>
      </c>
      <c r="L28" s="4" t="s">
        <v>62</v>
      </c>
      <c r="M28" s="4" t="s">
        <v>102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15</v>
      </c>
      <c r="D29" s="4" t="n">
        <v>410</v>
      </c>
      <c r="E29" s="4" t="s">
        <v>105</v>
      </c>
      <c r="F29" s="4" t="s">
        <v>17</v>
      </c>
      <c r="G29" s="4" t="s">
        <v>18</v>
      </c>
      <c r="H29" s="4" t="s">
        <v>19</v>
      </c>
      <c r="I29" s="4" t="s">
        <v>20</v>
      </c>
      <c r="J29" s="4" t="n">
        <v>0</v>
      </c>
      <c r="K29" s="4" t="s">
        <v>21</v>
      </c>
      <c r="L29" s="4" t="s">
        <v>62</v>
      </c>
      <c r="M29" s="4"/>
    </row>
    <row r="30" customFormat="false" ht="15" hidden="false" customHeight="false" outlineLevel="0" collapsed="false">
      <c r="A30" s="4" t="s">
        <v>106</v>
      </c>
      <c r="B30" s="4" t="s">
        <v>107</v>
      </c>
      <c r="C30" s="4" t="s">
        <v>108</v>
      </c>
      <c r="D30" s="4" t="n">
        <v>510</v>
      </c>
      <c r="E30" s="4" t="s">
        <v>16</v>
      </c>
      <c r="F30" s="4" t="s">
        <v>17</v>
      </c>
      <c r="G30" s="4" t="s">
        <v>109</v>
      </c>
      <c r="H30" s="4" t="s">
        <v>19</v>
      </c>
      <c r="I30" s="4" t="s">
        <v>66</v>
      </c>
      <c r="J30" s="4" t="n">
        <v>0</v>
      </c>
      <c r="K30" s="4" t="s">
        <v>21</v>
      </c>
      <c r="L30" s="4" t="s">
        <v>110</v>
      </c>
      <c r="M30" s="4" t="s">
        <v>111</v>
      </c>
    </row>
    <row r="31" customFormat="false" ht="15" hidden="false" customHeight="false" outlineLevel="0" collapsed="false">
      <c r="A31" s="4" t="s">
        <v>106</v>
      </c>
      <c r="B31" s="4" t="s">
        <v>107</v>
      </c>
      <c r="C31" s="4" t="s">
        <v>108</v>
      </c>
      <c r="D31" s="4" t="n">
        <v>540</v>
      </c>
      <c r="E31" s="4" t="s">
        <v>30</v>
      </c>
      <c r="F31" s="4" t="s">
        <v>17</v>
      </c>
      <c r="G31" s="4" t="s">
        <v>109</v>
      </c>
      <c r="H31" s="4" t="s">
        <v>19</v>
      </c>
      <c r="I31" s="4" t="s">
        <v>66</v>
      </c>
      <c r="J31" s="4" t="n">
        <v>0</v>
      </c>
      <c r="K31" s="4" t="s">
        <v>21</v>
      </c>
      <c r="L31" s="4" t="s">
        <v>110</v>
      </c>
      <c r="M31" s="4" t="s">
        <v>112</v>
      </c>
    </row>
    <row r="32" customFormat="false" ht="15" hidden="false" customHeight="false" outlineLevel="0" collapsed="false">
      <c r="A32" s="4" t="s">
        <v>106</v>
      </c>
      <c r="B32" s="4" t="s">
        <v>107</v>
      </c>
      <c r="C32" s="4" t="s">
        <v>108</v>
      </c>
      <c r="D32" s="4" t="n">
        <v>580</v>
      </c>
      <c r="E32" s="4" t="s">
        <v>25</v>
      </c>
      <c r="F32" s="4" t="s">
        <v>17</v>
      </c>
      <c r="G32" s="4" t="s">
        <v>109</v>
      </c>
      <c r="H32" s="4" t="s">
        <v>19</v>
      </c>
      <c r="I32" s="4" t="s">
        <v>66</v>
      </c>
      <c r="J32" s="4" t="n">
        <v>0</v>
      </c>
      <c r="K32" s="4" t="s">
        <v>21</v>
      </c>
      <c r="L32" s="4" t="s">
        <v>110</v>
      </c>
      <c r="M32" s="4" t="s">
        <v>113</v>
      </c>
    </row>
    <row r="33" customFormat="false" ht="15" hidden="false" customHeight="false" outlineLevel="0" collapsed="false">
      <c r="A33" s="4" t="s">
        <v>106</v>
      </c>
      <c r="B33" s="4" t="s">
        <v>107</v>
      </c>
      <c r="C33" s="4" t="s">
        <v>108</v>
      </c>
      <c r="D33" s="4" t="n">
        <v>550</v>
      </c>
      <c r="E33" s="4" t="s">
        <v>34</v>
      </c>
      <c r="F33" s="4" t="s">
        <v>17</v>
      </c>
      <c r="G33" s="4" t="s">
        <v>109</v>
      </c>
      <c r="H33" s="4" t="s">
        <v>19</v>
      </c>
      <c r="I33" s="4" t="s">
        <v>66</v>
      </c>
      <c r="J33" s="4" t="n">
        <v>0</v>
      </c>
      <c r="K33" s="4" t="s">
        <v>21</v>
      </c>
      <c r="L33" s="4" t="s">
        <v>110</v>
      </c>
      <c r="M33" s="4" t="s">
        <v>114</v>
      </c>
    </row>
    <row r="34" customFormat="false" ht="15" hidden="false" customHeight="false" outlineLevel="0" collapsed="false">
      <c r="A34" s="4" t="s">
        <v>115</v>
      </c>
      <c r="B34" s="4" t="s">
        <v>116</v>
      </c>
      <c r="C34" s="4" t="s">
        <v>117</v>
      </c>
      <c r="D34" s="4" t="n">
        <v>510</v>
      </c>
      <c r="E34" s="4" t="s">
        <v>16</v>
      </c>
      <c r="F34" s="4" t="s">
        <v>17</v>
      </c>
      <c r="G34" s="4" t="s">
        <v>109</v>
      </c>
      <c r="H34" s="4" t="s">
        <v>19</v>
      </c>
      <c r="I34" s="4" t="s">
        <v>66</v>
      </c>
      <c r="J34" s="4" t="n">
        <v>0</v>
      </c>
      <c r="K34" s="4" t="s">
        <v>21</v>
      </c>
      <c r="L34" s="4" t="s">
        <v>118</v>
      </c>
      <c r="M34" s="4" t="s">
        <v>119</v>
      </c>
    </row>
    <row r="35" customFormat="false" ht="15" hidden="false" customHeight="false" outlineLevel="0" collapsed="false">
      <c r="A35" s="4" t="s">
        <v>115</v>
      </c>
      <c r="B35" s="4" t="s">
        <v>116</v>
      </c>
      <c r="C35" s="4" t="s">
        <v>117</v>
      </c>
      <c r="D35" s="4" t="n">
        <v>540</v>
      </c>
      <c r="E35" s="4" t="s">
        <v>30</v>
      </c>
      <c r="F35" s="4" t="s">
        <v>17</v>
      </c>
      <c r="G35" s="4" t="s">
        <v>109</v>
      </c>
      <c r="H35" s="4" t="s">
        <v>19</v>
      </c>
      <c r="I35" s="4" t="s">
        <v>66</v>
      </c>
      <c r="J35" s="4" t="n">
        <v>0</v>
      </c>
      <c r="K35" s="4" t="s">
        <v>21</v>
      </c>
      <c r="L35" s="4" t="s">
        <v>118</v>
      </c>
      <c r="M35" s="4"/>
    </row>
    <row r="36" customFormat="false" ht="15" hidden="false" customHeight="false" outlineLevel="0" collapsed="false">
      <c r="A36" s="4" t="s">
        <v>115</v>
      </c>
      <c r="B36" s="4" t="s">
        <v>116</v>
      </c>
      <c r="C36" s="4" t="s">
        <v>117</v>
      </c>
      <c r="D36" s="4" t="n">
        <v>580</v>
      </c>
      <c r="E36" s="4" t="s">
        <v>25</v>
      </c>
      <c r="F36" s="4" t="s">
        <v>17</v>
      </c>
      <c r="G36" s="4" t="s">
        <v>109</v>
      </c>
      <c r="H36" s="4" t="s">
        <v>19</v>
      </c>
      <c r="I36" s="4" t="s">
        <v>66</v>
      </c>
      <c r="J36" s="4" t="n">
        <v>0</v>
      </c>
      <c r="K36" s="4" t="s">
        <v>21</v>
      </c>
      <c r="L36" s="4" t="s">
        <v>118</v>
      </c>
      <c r="M36" s="4"/>
    </row>
    <row r="37" customFormat="false" ht="15" hidden="false" customHeight="false" outlineLevel="0" collapsed="false">
      <c r="A37" s="4" t="s">
        <v>115</v>
      </c>
      <c r="B37" s="4" t="s">
        <v>116</v>
      </c>
      <c r="C37" s="4" t="s">
        <v>117</v>
      </c>
      <c r="D37" s="4" t="n">
        <v>550</v>
      </c>
      <c r="E37" s="4" t="s">
        <v>34</v>
      </c>
      <c r="F37" s="4" t="s">
        <v>17</v>
      </c>
      <c r="G37" s="4" t="s">
        <v>109</v>
      </c>
      <c r="H37" s="4" t="s">
        <v>19</v>
      </c>
      <c r="I37" s="4" t="s">
        <v>66</v>
      </c>
      <c r="J37" s="4" t="n">
        <v>0</v>
      </c>
      <c r="K37" s="4" t="s">
        <v>21</v>
      </c>
      <c r="L37" s="4" t="s">
        <v>118</v>
      </c>
      <c r="M37" s="4"/>
    </row>
    <row r="38" customFormat="false" ht="15" hidden="false" customHeight="false" outlineLevel="0" collapsed="false">
      <c r="A38" s="4" t="s">
        <v>120</v>
      </c>
      <c r="B38" s="4" t="s">
        <v>121</v>
      </c>
      <c r="C38" s="4" t="s">
        <v>122</v>
      </c>
      <c r="D38" s="4" t="n">
        <v>540</v>
      </c>
      <c r="E38" s="4" t="s">
        <v>30</v>
      </c>
      <c r="F38" s="4" t="s">
        <v>17</v>
      </c>
      <c r="G38" s="4" t="s">
        <v>18</v>
      </c>
      <c r="H38" s="4" t="s">
        <v>19</v>
      </c>
      <c r="I38" s="4" t="s">
        <v>20</v>
      </c>
      <c r="J38" s="4" t="n">
        <v>10000</v>
      </c>
      <c r="K38" s="4" t="s">
        <v>21</v>
      </c>
      <c r="L38" s="4" t="s">
        <v>62</v>
      </c>
      <c r="M38" s="4" t="s">
        <v>123</v>
      </c>
    </row>
    <row r="39" customFormat="false" ht="15" hidden="false" customHeight="false" outlineLevel="0" collapsed="false">
      <c r="A39" s="4" t="s">
        <v>124</v>
      </c>
      <c r="B39" s="4" t="s">
        <v>125</v>
      </c>
      <c r="C39" s="4" t="s">
        <v>15</v>
      </c>
      <c r="D39" s="4" t="n">
        <v>510</v>
      </c>
      <c r="E39" s="4" t="s">
        <v>16</v>
      </c>
      <c r="F39" s="4" t="s">
        <v>17</v>
      </c>
      <c r="G39" s="4" t="s">
        <v>126</v>
      </c>
      <c r="H39" s="4" t="s">
        <v>127</v>
      </c>
      <c r="I39" s="4" t="s">
        <v>66</v>
      </c>
      <c r="J39" s="4" t="n">
        <v>0</v>
      </c>
      <c r="K39" s="4" t="s">
        <v>21</v>
      </c>
      <c r="L39" s="4" t="s">
        <v>128</v>
      </c>
      <c r="M39" s="4" t="s">
        <v>129</v>
      </c>
    </row>
    <row r="40" customFormat="false" ht="15" hidden="false" customHeight="false" outlineLevel="0" collapsed="false">
      <c r="A40" s="4" t="s">
        <v>124</v>
      </c>
      <c r="B40" s="4" t="s">
        <v>125</v>
      </c>
      <c r="C40" s="4" t="s">
        <v>15</v>
      </c>
      <c r="D40" s="4" t="n">
        <v>540</v>
      </c>
      <c r="E40" s="4" t="s">
        <v>30</v>
      </c>
      <c r="F40" s="4" t="s">
        <v>17</v>
      </c>
      <c r="G40" s="4" t="s">
        <v>126</v>
      </c>
      <c r="H40" s="4" t="s">
        <v>127</v>
      </c>
      <c r="I40" s="4" t="s">
        <v>66</v>
      </c>
      <c r="J40" s="4" t="n">
        <v>0</v>
      </c>
      <c r="K40" s="4" t="s">
        <v>21</v>
      </c>
      <c r="L40" s="4" t="s">
        <v>128</v>
      </c>
      <c r="M40" s="4"/>
    </row>
    <row r="41" customFormat="false" ht="15" hidden="false" customHeight="false" outlineLevel="0" collapsed="false">
      <c r="A41" s="4" t="s">
        <v>124</v>
      </c>
      <c r="B41" s="4" t="s">
        <v>125</v>
      </c>
      <c r="C41" s="4" t="s">
        <v>15</v>
      </c>
      <c r="D41" s="4" t="n">
        <v>580</v>
      </c>
      <c r="E41" s="4" t="s">
        <v>25</v>
      </c>
      <c r="F41" s="4" t="s">
        <v>17</v>
      </c>
      <c r="G41" s="4" t="s">
        <v>126</v>
      </c>
      <c r="H41" s="4" t="s">
        <v>127</v>
      </c>
      <c r="I41" s="4" t="s">
        <v>66</v>
      </c>
      <c r="J41" s="4" t="n">
        <v>0</v>
      </c>
      <c r="K41" s="4" t="s">
        <v>21</v>
      </c>
      <c r="L41" s="4" t="s">
        <v>128</v>
      </c>
      <c r="M41" s="4"/>
    </row>
    <row r="42" customFormat="false" ht="15" hidden="false" customHeight="false" outlineLevel="0" collapsed="false">
      <c r="A42" s="4" t="s">
        <v>124</v>
      </c>
      <c r="B42" s="4" t="s">
        <v>125</v>
      </c>
      <c r="C42" s="4" t="s">
        <v>15</v>
      </c>
      <c r="D42" s="4" t="n">
        <v>550</v>
      </c>
      <c r="E42" s="4" t="s">
        <v>34</v>
      </c>
      <c r="F42" s="4" t="s">
        <v>17</v>
      </c>
      <c r="G42" s="4" t="s">
        <v>126</v>
      </c>
      <c r="H42" s="4" t="s">
        <v>127</v>
      </c>
      <c r="I42" s="4" t="s">
        <v>66</v>
      </c>
      <c r="J42" s="4" t="n">
        <v>0</v>
      </c>
      <c r="K42" s="4" t="s">
        <v>21</v>
      </c>
      <c r="L42" s="4" t="s">
        <v>128</v>
      </c>
      <c r="M42" s="4"/>
    </row>
    <row r="43" customFormat="false" ht="15" hidden="false" customHeight="false" outlineLevel="0" collapsed="false">
      <c r="A43" s="4" t="s">
        <v>124</v>
      </c>
      <c r="B43" s="4" t="s">
        <v>125</v>
      </c>
      <c r="C43" s="4" t="s">
        <v>15</v>
      </c>
      <c r="D43" s="4" t="n">
        <v>561</v>
      </c>
      <c r="E43" s="4" t="s">
        <v>40</v>
      </c>
      <c r="F43" s="4" t="s">
        <v>17</v>
      </c>
      <c r="G43" s="4" t="s">
        <v>126</v>
      </c>
      <c r="H43" s="4" t="s">
        <v>127</v>
      </c>
      <c r="I43" s="4" t="s">
        <v>66</v>
      </c>
      <c r="J43" s="4" t="n">
        <v>0</v>
      </c>
      <c r="K43" s="4" t="s">
        <v>21</v>
      </c>
      <c r="L43" s="4" t="s">
        <v>128</v>
      </c>
      <c r="M43" s="4"/>
    </row>
    <row r="44" customFormat="false" ht="15" hidden="false" customHeight="false" outlineLevel="0" collapsed="false">
      <c r="A44" s="4" t="s">
        <v>124</v>
      </c>
      <c r="B44" s="4" t="s">
        <v>125</v>
      </c>
      <c r="C44" s="4" t="s">
        <v>15</v>
      </c>
      <c r="D44" s="4" t="n">
        <v>573</v>
      </c>
      <c r="E44" s="4" t="s">
        <v>43</v>
      </c>
      <c r="F44" s="4" t="s">
        <v>17</v>
      </c>
      <c r="G44" s="4" t="s">
        <v>126</v>
      </c>
      <c r="H44" s="4" t="s">
        <v>127</v>
      </c>
      <c r="I44" s="4" t="s">
        <v>66</v>
      </c>
      <c r="J44" s="4" t="n">
        <v>0</v>
      </c>
      <c r="K44" s="4" t="s">
        <v>21</v>
      </c>
      <c r="L44" s="4" t="s">
        <v>128</v>
      </c>
      <c r="M44" s="4"/>
    </row>
    <row r="45" customFormat="false" ht="15" hidden="false" customHeight="false" outlineLevel="0" collapsed="false">
      <c r="A45" s="4" t="s">
        <v>124</v>
      </c>
      <c r="B45" s="4" t="s">
        <v>125</v>
      </c>
      <c r="C45" s="4" t="s">
        <v>15</v>
      </c>
      <c r="D45" s="4" t="n">
        <v>575</v>
      </c>
      <c r="E45" s="4" t="s">
        <v>46</v>
      </c>
      <c r="F45" s="4" t="s">
        <v>17</v>
      </c>
      <c r="G45" s="4" t="s">
        <v>126</v>
      </c>
      <c r="H45" s="4" t="s">
        <v>127</v>
      </c>
      <c r="I45" s="4" t="s">
        <v>66</v>
      </c>
      <c r="J45" s="4" t="n">
        <v>0</v>
      </c>
      <c r="K45" s="4" t="s">
        <v>21</v>
      </c>
      <c r="L45" s="4" t="s">
        <v>128</v>
      </c>
      <c r="M45" s="4"/>
    </row>
    <row r="46" customFormat="false" ht="15" hidden="false" customHeight="false" outlineLevel="0" collapsed="false">
      <c r="A46" s="4" t="s">
        <v>124</v>
      </c>
      <c r="B46" s="4" t="s">
        <v>125</v>
      </c>
      <c r="C46" s="4" t="s">
        <v>15</v>
      </c>
      <c r="D46" s="4" t="n">
        <v>530</v>
      </c>
      <c r="E46" s="4" t="s">
        <v>49</v>
      </c>
      <c r="F46" s="4" t="s">
        <v>17</v>
      </c>
      <c r="G46" s="4" t="s">
        <v>126</v>
      </c>
      <c r="H46" s="4" t="s">
        <v>127</v>
      </c>
      <c r="I46" s="4" t="s">
        <v>66</v>
      </c>
      <c r="J46" s="4" t="n">
        <v>0</v>
      </c>
      <c r="K46" s="4" t="s">
        <v>21</v>
      </c>
      <c r="L46" s="4" t="s">
        <v>128</v>
      </c>
      <c r="M46" s="4"/>
    </row>
    <row r="47" customFormat="false" ht="15" hidden="false" customHeight="false" outlineLevel="0" collapsed="false">
      <c r="A47" s="4" t="s">
        <v>124</v>
      </c>
      <c r="B47" s="4" t="s">
        <v>125</v>
      </c>
      <c r="C47" s="4" t="s">
        <v>15</v>
      </c>
      <c r="D47" s="4" t="n">
        <v>621</v>
      </c>
      <c r="E47" s="4" t="s">
        <v>37</v>
      </c>
      <c r="F47" s="4" t="s">
        <v>17</v>
      </c>
      <c r="G47" s="4" t="s">
        <v>126</v>
      </c>
      <c r="H47" s="4" t="s">
        <v>127</v>
      </c>
      <c r="I47" s="4" t="s">
        <v>66</v>
      </c>
      <c r="J47" s="4" t="n">
        <v>0</v>
      </c>
      <c r="K47" s="4" t="s">
        <v>21</v>
      </c>
      <c r="L47" s="4" t="s">
        <v>128</v>
      </c>
      <c r="M47" s="4"/>
    </row>
    <row r="48" customFormat="false" ht="15" hidden="false" customHeight="false" outlineLevel="0" collapsed="false">
      <c r="A48" s="4" t="s">
        <v>124</v>
      </c>
      <c r="B48" s="4" t="s">
        <v>125</v>
      </c>
      <c r="C48" s="4" t="s">
        <v>15</v>
      </c>
      <c r="D48" s="4" t="n">
        <v>607</v>
      </c>
      <c r="E48" s="4" t="s">
        <v>61</v>
      </c>
      <c r="F48" s="4" t="s">
        <v>17</v>
      </c>
      <c r="G48" s="4" t="s">
        <v>126</v>
      </c>
      <c r="H48" s="4" t="s">
        <v>127</v>
      </c>
      <c r="I48" s="4" t="s">
        <v>66</v>
      </c>
      <c r="J48" s="4" t="n">
        <v>0</v>
      </c>
      <c r="K48" s="4" t="s">
        <v>21</v>
      </c>
      <c r="L48" s="4" t="s">
        <v>128</v>
      </c>
      <c r="M48" s="4"/>
    </row>
    <row r="49" customFormat="false" ht="15" hidden="false" customHeight="false" outlineLevel="0" collapsed="false">
      <c r="A49" s="4" t="s">
        <v>130</v>
      </c>
      <c r="B49" s="4" t="s">
        <v>131</v>
      </c>
      <c r="C49" s="4" t="s">
        <v>15</v>
      </c>
      <c r="D49" s="4" t="n">
        <v>461</v>
      </c>
      <c r="E49" s="4" t="s">
        <v>77</v>
      </c>
      <c r="F49" s="4" t="s">
        <v>17</v>
      </c>
      <c r="G49" s="4" t="s">
        <v>126</v>
      </c>
      <c r="H49" s="4" t="s">
        <v>127</v>
      </c>
      <c r="I49" s="4" t="s">
        <v>66</v>
      </c>
      <c r="J49" s="4" t="n">
        <v>0</v>
      </c>
      <c r="K49" s="4" t="s">
        <v>21</v>
      </c>
      <c r="L49" s="4" t="s">
        <v>132</v>
      </c>
      <c r="M49" s="4" t="s">
        <v>133</v>
      </c>
    </row>
    <row r="50" customFormat="false" ht="15" hidden="false" customHeight="false" outlineLevel="0" collapsed="false">
      <c r="A50" s="4" t="s">
        <v>130</v>
      </c>
      <c r="B50" s="4" t="s">
        <v>131</v>
      </c>
      <c r="C50" s="4" t="s">
        <v>15</v>
      </c>
      <c r="D50" s="4" t="n">
        <v>479</v>
      </c>
      <c r="E50" s="4" t="s">
        <v>80</v>
      </c>
      <c r="F50" s="4" t="s">
        <v>17</v>
      </c>
      <c r="G50" s="4" t="s">
        <v>126</v>
      </c>
      <c r="H50" s="4" t="s">
        <v>127</v>
      </c>
      <c r="I50" s="4" t="s">
        <v>66</v>
      </c>
      <c r="J50" s="4" t="n">
        <v>0</v>
      </c>
      <c r="K50" s="4" t="s">
        <v>21</v>
      </c>
      <c r="L50" s="4" t="s">
        <v>132</v>
      </c>
      <c r="M50" s="4"/>
    </row>
    <row r="51" customFormat="false" ht="15" hidden="false" customHeight="false" outlineLevel="0" collapsed="false">
      <c r="A51" s="4" t="s">
        <v>130</v>
      </c>
      <c r="B51" s="4" t="s">
        <v>131</v>
      </c>
      <c r="C51" s="4" t="s">
        <v>15</v>
      </c>
      <c r="D51" s="4" t="n">
        <v>430</v>
      </c>
      <c r="E51" s="4" t="s">
        <v>83</v>
      </c>
      <c r="F51" s="4" t="s">
        <v>17</v>
      </c>
      <c r="G51" s="4" t="s">
        <v>126</v>
      </c>
      <c r="H51" s="4" t="s">
        <v>127</v>
      </c>
      <c r="I51" s="4" t="s">
        <v>66</v>
      </c>
      <c r="J51" s="4" t="n">
        <v>0</v>
      </c>
      <c r="K51" s="4" t="s">
        <v>21</v>
      </c>
      <c r="L51" s="4" t="s">
        <v>132</v>
      </c>
      <c r="M51" s="4"/>
    </row>
    <row r="52" customFormat="false" ht="15" hidden="false" customHeight="false" outlineLevel="0" collapsed="false">
      <c r="A52" s="4" t="s">
        <v>130</v>
      </c>
      <c r="B52" s="4" t="s">
        <v>131</v>
      </c>
      <c r="C52" s="4" t="s">
        <v>15</v>
      </c>
      <c r="D52" s="4" t="n">
        <v>440</v>
      </c>
      <c r="E52" s="4" t="s">
        <v>86</v>
      </c>
      <c r="F52" s="4" t="s">
        <v>17</v>
      </c>
      <c r="G52" s="4" t="s">
        <v>126</v>
      </c>
      <c r="H52" s="4" t="s">
        <v>127</v>
      </c>
      <c r="I52" s="4" t="s">
        <v>66</v>
      </c>
      <c r="J52" s="4" t="n">
        <v>0</v>
      </c>
      <c r="K52" s="4" t="s">
        <v>21</v>
      </c>
      <c r="L52" s="4" t="s">
        <v>132</v>
      </c>
      <c r="M52" s="4"/>
    </row>
    <row r="53" customFormat="false" ht="15" hidden="false" customHeight="false" outlineLevel="0" collapsed="false">
      <c r="A53" s="4" t="s">
        <v>130</v>
      </c>
      <c r="B53" s="4" t="s">
        <v>131</v>
      </c>
      <c r="C53" s="4" t="s">
        <v>15</v>
      </c>
      <c r="D53" s="4" t="n">
        <v>450</v>
      </c>
      <c r="E53" s="4" t="s">
        <v>89</v>
      </c>
      <c r="F53" s="4" t="s">
        <v>17</v>
      </c>
      <c r="G53" s="4" t="s">
        <v>126</v>
      </c>
      <c r="H53" s="4" t="s">
        <v>127</v>
      </c>
      <c r="I53" s="4" t="s">
        <v>66</v>
      </c>
      <c r="J53" s="4" t="n">
        <v>0</v>
      </c>
      <c r="K53" s="4" t="s">
        <v>21</v>
      </c>
      <c r="L53" s="4" t="s">
        <v>132</v>
      </c>
      <c r="M53" s="4"/>
    </row>
    <row r="54" customFormat="false" ht="15" hidden="false" customHeight="false" outlineLevel="0" collapsed="false">
      <c r="A54" s="4" t="s">
        <v>130</v>
      </c>
      <c r="B54" s="4" t="s">
        <v>131</v>
      </c>
      <c r="C54" s="4" t="s">
        <v>15</v>
      </c>
      <c r="D54" s="4" t="n">
        <v>480</v>
      </c>
      <c r="E54" s="4" t="s">
        <v>95</v>
      </c>
      <c r="F54" s="4" t="s">
        <v>17</v>
      </c>
      <c r="G54" s="4" t="s">
        <v>126</v>
      </c>
      <c r="H54" s="4" t="s">
        <v>127</v>
      </c>
      <c r="I54" s="4" t="s">
        <v>66</v>
      </c>
      <c r="J54" s="4" t="n">
        <v>0</v>
      </c>
      <c r="K54" s="4" t="s">
        <v>21</v>
      </c>
      <c r="L54" s="4" t="s">
        <v>132</v>
      </c>
      <c r="M54" s="4"/>
    </row>
    <row r="55" customFormat="false" ht="15" hidden="false" customHeight="false" outlineLevel="0" collapsed="false">
      <c r="A55" s="4" t="s">
        <v>130</v>
      </c>
      <c r="B55" s="4" t="s">
        <v>131</v>
      </c>
      <c r="C55" s="4" t="s">
        <v>15</v>
      </c>
      <c r="D55" s="4" t="n">
        <v>420</v>
      </c>
      <c r="E55" s="4" t="s">
        <v>92</v>
      </c>
      <c r="F55" s="4" t="s">
        <v>17</v>
      </c>
      <c r="G55" s="4" t="s">
        <v>126</v>
      </c>
      <c r="H55" s="4" t="s">
        <v>127</v>
      </c>
      <c r="I55" s="4" t="s">
        <v>66</v>
      </c>
      <c r="J55" s="4" t="n">
        <v>0</v>
      </c>
      <c r="K55" s="4" t="s">
        <v>21</v>
      </c>
      <c r="L55" s="4" t="s">
        <v>132</v>
      </c>
      <c r="M55" s="4"/>
    </row>
    <row r="56" customFormat="false" ht="15" hidden="false" customHeight="false" outlineLevel="0" collapsed="false">
      <c r="A56" s="4" t="s">
        <v>130</v>
      </c>
      <c r="B56" s="4" t="s">
        <v>131</v>
      </c>
      <c r="C56" s="4" t="s">
        <v>15</v>
      </c>
      <c r="D56" s="4" t="n">
        <v>410</v>
      </c>
      <c r="E56" s="4" t="s">
        <v>105</v>
      </c>
      <c r="F56" s="4" t="s">
        <v>17</v>
      </c>
      <c r="G56" s="4" t="s">
        <v>126</v>
      </c>
      <c r="H56" s="4" t="s">
        <v>127</v>
      </c>
      <c r="I56" s="4" t="s">
        <v>66</v>
      </c>
      <c r="J56" s="4" t="n">
        <v>0</v>
      </c>
      <c r="K56" s="4" t="s">
        <v>21</v>
      </c>
      <c r="L56" s="4" t="s">
        <v>132</v>
      </c>
      <c r="M56" s="4"/>
    </row>
    <row r="57" customFormat="false" ht="15" hidden="false" customHeight="false" outlineLevel="0" collapsed="false">
      <c r="A57" s="4" t="s">
        <v>130</v>
      </c>
      <c r="B57" s="4" t="s">
        <v>131</v>
      </c>
      <c r="C57" s="4" t="s">
        <v>15</v>
      </c>
      <c r="D57" s="4" t="n">
        <v>482</v>
      </c>
      <c r="E57" s="4" t="s">
        <v>102</v>
      </c>
      <c r="F57" s="4" t="s">
        <v>17</v>
      </c>
      <c r="G57" s="4" t="s">
        <v>126</v>
      </c>
      <c r="H57" s="4" t="s">
        <v>127</v>
      </c>
      <c r="I57" s="4" t="s">
        <v>66</v>
      </c>
      <c r="J57" s="4" t="n">
        <v>0</v>
      </c>
      <c r="K57" s="4" t="s">
        <v>21</v>
      </c>
      <c r="L57" s="4" t="s">
        <v>132</v>
      </c>
      <c r="M57" s="4"/>
    </row>
    <row r="58" customFormat="false" ht="15" hidden="false" customHeight="false" outlineLevel="0" collapsed="false">
      <c r="A58" s="4" t="s">
        <v>130</v>
      </c>
      <c r="B58" s="4" t="s">
        <v>131</v>
      </c>
      <c r="C58" s="4" t="s">
        <v>15</v>
      </c>
      <c r="D58" s="4" t="n">
        <v>492</v>
      </c>
      <c r="E58" s="4" t="s">
        <v>134</v>
      </c>
      <c r="F58" s="4" t="s">
        <v>17</v>
      </c>
      <c r="G58" s="4" t="s">
        <v>126</v>
      </c>
      <c r="H58" s="4" t="s">
        <v>127</v>
      </c>
      <c r="I58" s="4" t="s">
        <v>66</v>
      </c>
      <c r="J58" s="4" t="n">
        <v>0</v>
      </c>
      <c r="K58" s="4" t="s">
        <v>21</v>
      </c>
      <c r="L58" s="4" t="s">
        <v>132</v>
      </c>
      <c r="M58" s="4"/>
    </row>
    <row r="59" customFormat="false" ht="15" hidden="false" customHeight="false" outlineLevel="0" collapsed="false">
      <c r="A59" s="4" t="s">
        <v>135</v>
      </c>
      <c r="B59" s="4" t="s">
        <v>136</v>
      </c>
      <c r="C59" s="4" t="s">
        <v>15</v>
      </c>
      <c r="D59" s="4" t="n">
        <v>630</v>
      </c>
      <c r="E59" s="4" t="s">
        <v>52</v>
      </c>
      <c r="F59" s="4" t="s">
        <v>17</v>
      </c>
      <c r="G59" s="4" t="s">
        <v>126</v>
      </c>
      <c r="H59" s="4" t="s">
        <v>127</v>
      </c>
      <c r="I59" s="4" t="s">
        <v>66</v>
      </c>
      <c r="J59" s="4" t="n">
        <v>0</v>
      </c>
      <c r="K59" s="4" t="s">
        <v>21</v>
      </c>
      <c r="L59" s="4" t="s">
        <v>137</v>
      </c>
      <c r="M59" s="4"/>
    </row>
    <row r="60" customFormat="false" ht="15" hidden="false" customHeight="false" outlineLevel="0" collapsed="false">
      <c r="A60" s="4" t="s">
        <v>138</v>
      </c>
      <c r="B60" s="4" t="s">
        <v>139</v>
      </c>
      <c r="C60" s="4" t="s">
        <v>15</v>
      </c>
      <c r="D60" s="4" t="n">
        <v>607</v>
      </c>
      <c r="E60" s="4" t="s">
        <v>61</v>
      </c>
      <c r="F60" s="4" t="s">
        <v>17</v>
      </c>
      <c r="G60" s="4" t="s">
        <v>126</v>
      </c>
      <c r="H60" s="4" t="s">
        <v>127</v>
      </c>
      <c r="I60" s="4" t="s">
        <v>20</v>
      </c>
      <c r="J60" s="4" t="n">
        <v>0</v>
      </c>
      <c r="K60" s="4" t="s">
        <v>21</v>
      </c>
      <c r="L60" s="4" t="s">
        <v>140</v>
      </c>
      <c r="M60" s="4"/>
    </row>
    <row r="61" customFormat="false" ht="15" hidden="false" customHeight="false" outlineLevel="0" collapsed="false">
      <c r="A61" s="4" t="s">
        <v>141</v>
      </c>
      <c r="B61" s="4" t="s">
        <v>142</v>
      </c>
      <c r="C61" s="4" t="s">
        <v>15</v>
      </c>
      <c r="D61" s="4" t="n">
        <v>615</v>
      </c>
      <c r="E61" s="4" t="s">
        <v>73</v>
      </c>
      <c r="F61" s="4" t="s">
        <v>17</v>
      </c>
      <c r="G61" s="4" t="s">
        <v>126</v>
      </c>
      <c r="H61" s="4" t="s">
        <v>127</v>
      </c>
      <c r="I61" s="4" t="s">
        <v>20</v>
      </c>
      <c r="J61" s="4" t="n">
        <v>0</v>
      </c>
      <c r="K61" s="4" t="s">
        <v>21</v>
      </c>
      <c r="L61" s="4" t="s">
        <v>143</v>
      </c>
      <c r="M61" s="4"/>
    </row>
  </sheetData>
  <autoFilter ref="A1:M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  <col collapsed="false" customWidth="true" hidden="false" outlineLevel="0" max="3" min="3" style="1" width="40"/>
  </cols>
  <sheetData>
    <row r="1" customFormat="false" ht="15" hidden="false" customHeight="true" outlineLevel="0" collapsed="false">
      <c r="A1" s="5" t="s">
        <v>144</v>
      </c>
      <c r="B1" s="5" t="s">
        <v>145</v>
      </c>
      <c r="C1" s="5" t="s">
        <v>146</v>
      </c>
    </row>
    <row r="2" customFormat="false" ht="15" hidden="false" customHeight="true" outlineLevel="0" collapsed="false">
      <c r="A2" s="6" t="s">
        <v>0</v>
      </c>
      <c r="B2" s="7" t="s">
        <v>147</v>
      </c>
      <c r="C2" s="7" t="s">
        <v>148</v>
      </c>
    </row>
    <row r="3" customFormat="false" ht="15" hidden="false" customHeight="true" outlineLevel="0" collapsed="false">
      <c r="A3" s="6" t="s">
        <v>1</v>
      </c>
      <c r="B3" s="7" t="s">
        <v>149</v>
      </c>
      <c r="C3" s="7" t="s">
        <v>150</v>
      </c>
    </row>
    <row r="4" customFormat="false" ht="15" hidden="false" customHeight="true" outlineLevel="0" collapsed="false">
      <c r="A4" s="6" t="s">
        <v>2</v>
      </c>
      <c r="B4" s="7" t="s">
        <v>151</v>
      </c>
      <c r="C4" s="7" t="s">
        <v>152</v>
      </c>
    </row>
    <row r="5" customFormat="false" ht="15" hidden="false" customHeight="true" outlineLevel="0" collapsed="false">
      <c r="A5" s="6" t="s">
        <v>3</v>
      </c>
      <c r="B5" s="7" t="s">
        <v>153</v>
      </c>
      <c r="C5" s="7" t="s">
        <v>154</v>
      </c>
    </row>
    <row r="6" customFormat="false" ht="15" hidden="false" customHeight="true" outlineLevel="0" collapsed="false">
      <c r="A6" s="6" t="s">
        <v>4</v>
      </c>
      <c r="B6" s="7" t="s">
        <v>155</v>
      </c>
      <c r="C6" s="7" t="s">
        <v>156</v>
      </c>
    </row>
    <row r="7" customFormat="false" ht="15" hidden="false" customHeight="true" outlineLevel="0" collapsed="false">
      <c r="A7" s="6" t="s">
        <v>5</v>
      </c>
      <c r="B7" s="7" t="s">
        <v>157</v>
      </c>
      <c r="C7" s="7" t="s">
        <v>158</v>
      </c>
    </row>
    <row r="8" customFormat="false" ht="15" hidden="false" customHeight="true" outlineLevel="0" collapsed="false">
      <c r="A8" s="6" t="s">
        <v>6</v>
      </c>
      <c r="B8" s="7" t="s">
        <v>159</v>
      </c>
      <c r="C8" s="7" t="s">
        <v>160</v>
      </c>
    </row>
    <row r="9" customFormat="false" ht="15" hidden="false" customHeight="true" outlineLevel="0" collapsed="false">
      <c r="A9" s="6" t="s">
        <v>7</v>
      </c>
      <c r="B9" s="7" t="s">
        <v>161</v>
      </c>
      <c r="C9" s="7" t="s">
        <v>162</v>
      </c>
    </row>
    <row r="10" customFormat="false" ht="15" hidden="false" customHeight="true" outlineLevel="0" collapsed="false">
      <c r="A10" s="6" t="s">
        <v>8</v>
      </c>
      <c r="B10" s="7" t="s">
        <v>163</v>
      </c>
      <c r="C10" s="7" t="s">
        <v>164</v>
      </c>
    </row>
    <row r="11" customFormat="false" ht="15" hidden="false" customHeight="true" outlineLevel="0" collapsed="false">
      <c r="A11" s="6" t="s">
        <v>9</v>
      </c>
      <c r="B11" s="7" t="s">
        <v>165</v>
      </c>
      <c r="C11" s="7" t="s">
        <v>166</v>
      </c>
    </row>
    <row r="12" customFormat="false" ht="15" hidden="false" customHeight="true" outlineLevel="0" collapsed="false">
      <c r="A12" s="6" t="s">
        <v>10</v>
      </c>
      <c r="B12" s="7" t="s">
        <v>167</v>
      </c>
      <c r="C12" s="7" t="s">
        <v>168</v>
      </c>
    </row>
    <row r="13" customFormat="false" ht="15" hidden="false" customHeight="true" outlineLevel="0" collapsed="false">
      <c r="A13" s="6" t="s">
        <v>11</v>
      </c>
      <c r="B13" s="7" t="s">
        <v>169</v>
      </c>
      <c r="C13" s="7" t="s">
        <v>170</v>
      </c>
    </row>
    <row r="14" customFormat="false" ht="15" hidden="false" customHeight="true" outlineLevel="0" collapsed="false">
      <c r="A14" s="6" t="s">
        <v>12</v>
      </c>
      <c r="B14" s="7" t="s">
        <v>171</v>
      </c>
      <c r="C14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20"/>
  </cols>
  <sheetData>
    <row r="1" customFormat="false" ht="15" hidden="false" customHeight="true" outlineLevel="0" collapsed="false">
      <c r="A1" s="8" t="s">
        <v>3</v>
      </c>
      <c r="B1" s="8" t="s">
        <v>4</v>
      </c>
      <c r="C1" s="8" t="s">
        <v>5</v>
      </c>
      <c r="D1" s="8" t="s">
        <v>172</v>
      </c>
      <c r="E1" s="8" t="s">
        <v>173</v>
      </c>
      <c r="F1" s="8" t="s">
        <v>174</v>
      </c>
    </row>
    <row r="2" customFormat="false" ht="15" hidden="false" customHeight="true" outlineLevel="0" collapsed="false">
      <c r="A2" s="7" t="n">
        <v>101</v>
      </c>
      <c r="B2" s="7" t="s">
        <v>175</v>
      </c>
      <c r="C2" s="7" t="s">
        <v>176</v>
      </c>
      <c r="D2" s="7" t="n">
        <v>652564</v>
      </c>
      <c r="E2" s="7" t="n">
        <f aca="false">COUNTIF(newspaper_municipality_map!D:D,A2)</f>
        <v>0</v>
      </c>
      <c r="F2" s="7" t="n">
        <f aca="false">IF(D2&gt;0,E2/D2*10000,"")</f>
        <v>0</v>
      </c>
    </row>
    <row r="3" customFormat="false" ht="15" hidden="false" customHeight="true" outlineLevel="0" collapsed="false">
      <c r="A3" s="7" t="n">
        <v>147</v>
      </c>
      <c r="B3" s="7" t="s">
        <v>177</v>
      </c>
      <c r="C3" s="7" t="s">
        <v>176</v>
      </c>
      <c r="D3" s="7" t="n">
        <v>104305</v>
      </c>
      <c r="E3" s="7" t="n">
        <f aca="false">COUNTIF(newspaper_municipality_map!D:D,A3)</f>
        <v>0</v>
      </c>
      <c r="F3" s="7" t="n">
        <f aca="false">IF(D3&gt;0,E3/D3*10000,"")</f>
        <v>0</v>
      </c>
    </row>
    <row r="4" customFormat="false" ht="15" hidden="false" customHeight="true" outlineLevel="0" collapsed="false">
      <c r="A4" s="7" t="n">
        <v>151</v>
      </c>
      <c r="B4" s="7" t="s">
        <v>178</v>
      </c>
      <c r="C4" s="7" t="s">
        <v>176</v>
      </c>
      <c r="D4" s="7" t="n">
        <v>49384</v>
      </c>
      <c r="E4" s="7" t="n">
        <f aca="false">COUNTIF(newspaper_municipality_map!D:D,A4)</f>
        <v>0</v>
      </c>
      <c r="F4" s="7" t="n">
        <f aca="false">IF(D4&gt;0,E4/D4*10000,"")</f>
        <v>0</v>
      </c>
    </row>
    <row r="5" customFormat="false" ht="15" hidden="false" customHeight="true" outlineLevel="0" collapsed="false">
      <c r="A5" s="7" t="n">
        <v>153</v>
      </c>
      <c r="B5" s="7" t="s">
        <v>179</v>
      </c>
      <c r="C5" s="7" t="s">
        <v>176</v>
      </c>
      <c r="D5" s="7" t="n">
        <v>35698</v>
      </c>
      <c r="E5" s="7" t="n">
        <f aca="false">COUNTIF(newspaper_municipality_map!D:D,A5)</f>
        <v>0</v>
      </c>
      <c r="F5" s="7" t="n">
        <f aca="false">IF(D5&gt;0,E5/D5*10000,"")</f>
        <v>0</v>
      </c>
    </row>
    <row r="6" customFormat="false" ht="15" hidden="false" customHeight="true" outlineLevel="0" collapsed="false">
      <c r="A6" s="7" t="n">
        <v>155</v>
      </c>
      <c r="B6" s="7" t="s">
        <v>180</v>
      </c>
      <c r="C6" s="7" t="s">
        <v>176</v>
      </c>
      <c r="D6" s="7" t="n">
        <v>14338</v>
      </c>
      <c r="E6" s="7" t="n">
        <f aca="false">COUNTIF(newspaper_municipality_map!D:D,A6)</f>
        <v>0</v>
      </c>
      <c r="F6" s="7" t="n">
        <f aca="false">IF(D6&gt;0,E6/D6*10000,"")</f>
        <v>0</v>
      </c>
    </row>
    <row r="7" customFormat="false" ht="15" hidden="false" customHeight="true" outlineLevel="0" collapsed="false">
      <c r="A7" s="7" t="n">
        <v>157</v>
      </c>
      <c r="B7" s="7" t="s">
        <v>181</v>
      </c>
      <c r="C7" s="7" t="s">
        <v>176</v>
      </c>
      <c r="D7" s="7" t="n">
        <v>75753</v>
      </c>
      <c r="E7" s="7" t="n">
        <f aca="false">COUNTIF(newspaper_municipality_map!D:D,A7)</f>
        <v>0</v>
      </c>
      <c r="F7" s="7" t="n">
        <f aca="false">IF(D7&gt;0,E7/D7*10000,"")</f>
        <v>0</v>
      </c>
    </row>
    <row r="8" customFormat="false" ht="15" hidden="false" customHeight="true" outlineLevel="0" collapsed="false">
      <c r="A8" s="7" t="n">
        <v>159</v>
      </c>
      <c r="B8" s="7" t="s">
        <v>182</v>
      </c>
      <c r="C8" s="7" t="s">
        <v>176</v>
      </c>
      <c r="D8" s="7" t="n">
        <v>70031</v>
      </c>
      <c r="E8" s="7" t="n">
        <f aca="false">COUNTIF(newspaper_municipality_map!D:D,A8)</f>
        <v>0</v>
      </c>
      <c r="F8" s="7" t="n">
        <f aca="false">IF(D8&gt;0,E8/D8*10000,"")</f>
        <v>0</v>
      </c>
    </row>
    <row r="9" customFormat="false" ht="15" hidden="false" customHeight="true" outlineLevel="0" collapsed="false">
      <c r="A9" s="7" t="n">
        <v>161</v>
      </c>
      <c r="B9" s="7" t="s">
        <v>183</v>
      </c>
      <c r="C9" s="7" t="s">
        <v>176</v>
      </c>
      <c r="D9" s="7" t="n">
        <v>23382</v>
      </c>
      <c r="E9" s="7" t="n">
        <f aca="false">COUNTIF(newspaper_municipality_map!D:D,A9)</f>
        <v>0</v>
      </c>
      <c r="F9" s="7" t="n">
        <f aca="false">IF(D9&gt;0,E9/D9*10000,"")</f>
        <v>0</v>
      </c>
    </row>
    <row r="10" customFormat="false" ht="15" hidden="false" customHeight="true" outlineLevel="0" collapsed="false">
      <c r="A10" s="7" t="n">
        <v>163</v>
      </c>
      <c r="B10" s="7" t="s">
        <v>184</v>
      </c>
      <c r="C10" s="7" t="s">
        <v>176</v>
      </c>
      <c r="D10" s="7" t="n">
        <v>28821</v>
      </c>
      <c r="E10" s="7" t="n">
        <f aca="false">COUNTIF(newspaper_municipality_map!D:D,A10)</f>
        <v>0</v>
      </c>
      <c r="F10" s="7" t="n">
        <f aca="false">IF(D10&gt;0,E10/D10*10000,"")</f>
        <v>0</v>
      </c>
    </row>
    <row r="11" customFormat="false" ht="15" hidden="false" customHeight="true" outlineLevel="0" collapsed="false">
      <c r="A11" s="7" t="n">
        <v>165</v>
      </c>
      <c r="B11" s="7" t="s">
        <v>185</v>
      </c>
      <c r="C11" s="7" t="s">
        <v>176</v>
      </c>
      <c r="D11" s="7" t="n">
        <v>28072</v>
      </c>
      <c r="E11" s="7" t="n">
        <f aca="false">COUNTIF(newspaper_municipality_map!D:D,A11)</f>
        <v>0</v>
      </c>
      <c r="F11" s="7" t="n">
        <f aca="false">IF(D11&gt;0,E11/D11*10000,"")</f>
        <v>0</v>
      </c>
    </row>
    <row r="12" customFormat="false" ht="15" hidden="false" customHeight="true" outlineLevel="0" collapsed="false">
      <c r="A12" s="7" t="n">
        <v>167</v>
      </c>
      <c r="B12" s="7" t="s">
        <v>186</v>
      </c>
      <c r="C12" s="7" t="s">
        <v>176</v>
      </c>
      <c r="D12" s="7" t="n">
        <v>53835</v>
      </c>
      <c r="E12" s="7" t="n">
        <f aca="false">COUNTIF(newspaper_municipality_map!D:D,A12)</f>
        <v>0</v>
      </c>
      <c r="F12" s="7" t="n">
        <f aca="false">IF(D12&gt;0,E12/D12*10000,"")</f>
        <v>0</v>
      </c>
    </row>
    <row r="13" customFormat="false" ht="15" hidden="false" customHeight="true" outlineLevel="0" collapsed="false">
      <c r="A13" s="7" t="n">
        <v>169</v>
      </c>
      <c r="B13" s="7" t="s">
        <v>187</v>
      </c>
      <c r="C13" s="7" t="s">
        <v>176</v>
      </c>
      <c r="D13" s="7" t="n">
        <v>52773</v>
      </c>
      <c r="E13" s="7" t="n">
        <f aca="false">COUNTIF(newspaper_municipality_map!D:D,A13)</f>
        <v>0</v>
      </c>
      <c r="F13" s="7" t="n">
        <f aca="false">IF(D13&gt;0,E13/D13*10000,"")</f>
        <v>0</v>
      </c>
    </row>
    <row r="14" customFormat="false" ht="15" hidden="false" customHeight="true" outlineLevel="0" collapsed="false">
      <c r="A14" s="7" t="n">
        <v>173</v>
      </c>
      <c r="B14" s="7" t="s">
        <v>188</v>
      </c>
      <c r="C14" s="7" t="s">
        <v>176</v>
      </c>
      <c r="D14" s="7" t="n">
        <v>56493</v>
      </c>
      <c r="E14" s="7" t="n">
        <f aca="false">COUNTIF(newspaper_municipality_map!D:D,A14)</f>
        <v>0</v>
      </c>
      <c r="F14" s="7" t="n">
        <f aca="false">IF(D14&gt;0,E14/D14*10000,"")</f>
        <v>0</v>
      </c>
    </row>
    <row r="15" customFormat="false" ht="15" hidden="false" customHeight="true" outlineLevel="0" collapsed="false">
      <c r="A15" s="7" t="n">
        <v>175</v>
      </c>
      <c r="B15" s="7" t="s">
        <v>189</v>
      </c>
      <c r="C15" s="7" t="s">
        <v>176</v>
      </c>
      <c r="D15" s="7" t="n">
        <v>42132</v>
      </c>
      <c r="E15" s="7" t="n">
        <f aca="false">COUNTIF(newspaper_municipality_map!D:D,A15)</f>
        <v>0</v>
      </c>
      <c r="F15" s="7" t="n">
        <f aca="false">IF(D15&gt;0,E15/D15*10000,"")</f>
        <v>0</v>
      </c>
    </row>
    <row r="16" customFormat="false" ht="15" hidden="false" customHeight="true" outlineLevel="0" collapsed="false">
      <c r="A16" s="7" t="n">
        <v>183</v>
      </c>
      <c r="B16" s="7" t="s">
        <v>190</v>
      </c>
      <c r="C16" s="7" t="s">
        <v>176</v>
      </c>
      <c r="D16" s="7" t="n">
        <v>23174</v>
      </c>
      <c r="E16" s="7" t="n">
        <f aca="false">COUNTIF(newspaper_municipality_map!D:D,A16)</f>
        <v>0</v>
      </c>
      <c r="F16" s="7" t="n">
        <f aca="false">IF(D16&gt;0,E16/D16*10000,"")</f>
        <v>0</v>
      </c>
    </row>
    <row r="17" customFormat="false" ht="15" hidden="false" customHeight="true" outlineLevel="0" collapsed="false">
      <c r="A17" s="7" t="n">
        <v>185</v>
      </c>
      <c r="B17" s="7" t="s">
        <v>191</v>
      </c>
      <c r="C17" s="7" t="s">
        <v>176</v>
      </c>
      <c r="D17" s="7" t="n">
        <v>43713</v>
      </c>
      <c r="E17" s="7" t="n">
        <f aca="false">COUNTIF(newspaper_municipality_map!D:D,A17)</f>
        <v>0</v>
      </c>
      <c r="F17" s="7" t="n">
        <f aca="false">IF(D17&gt;0,E17/D17*10000,"")</f>
        <v>0</v>
      </c>
    </row>
    <row r="18" customFormat="false" ht="15" hidden="false" customHeight="true" outlineLevel="0" collapsed="false">
      <c r="A18" s="7" t="n">
        <v>187</v>
      </c>
      <c r="B18" s="7" t="s">
        <v>192</v>
      </c>
      <c r="C18" s="7" t="s">
        <v>176</v>
      </c>
      <c r="D18" s="7" t="n">
        <v>16787</v>
      </c>
      <c r="E18" s="7" t="n">
        <f aca="false">COUNTIF(newspaper_municipality_map!D:D,A18)</f>
        <v>0</v>
      </c>
      <c r="F18" s="7" t="n">
        <f aca="false">IF(D18&gt;0,E18/D18*10000,"")</f>
        <v>0</v>
      </c>
    </row>
    <row r="19" customFormat="false" ht="15" hidden="false" customHeight="true" outlineLevel="0" collapsed="false">
      <c r="A19" s="7" t="n">
        <v>190</v>
      </c>
      <c r="B19" s="7" t="s">
        <v>193</v>
      </c>
      <c r="C19" s="7" t="s">
        <v>176</v>
      </c>
      <c r="D19" s="7" t="n">
        <v>41384</v>
      </c>
      <c r="E19" s="7" t="n">
        <f aca="false">COUNTIF(newspaper_municipality_map!D:D,A19)</f>
        <v>0</v>
      </c>
      <c r="F19" s="7" t="n">
        <f aca="false">IF(D19&gt;0,E19/D19*10000,"")</f>
        <v>0</v>
      </c>
    </row>
    <row r="20" customFormat="false" ht="15" hidden="false" customHeight="true" outlineLevel="0" collapsed="false">
      <c r="A20" s="7" t="n">
        <v>201</v>
      </c>
      <c r="B20" s="7" t="s">
        <v>194</v>
      </c>
      <c r="C20" s="7" t="s">
        <v>176</v>
      </c>
      <c r="D20" s="7" t="n">
        <v>26134</v>
      </c>
      <c r="E20" s="7" t="n">
        <f aca="false">COUNTIF(newspaper_municipality_map!D:D,A20)</f>
        <v>0</v>
      </c>
      <c r="F20" s="7" t="n">
        <f aca="false">IF(D20&gt;0,E20/D20*10000,"")</f>
        <v>0</v>
      </c>
    </row>
    <row r="21" customFormat="false" ht="15" hidden="false" customHeight="true" outlineLevel="0" collapsed="false">
      <c r="A21" s="7" t="n">
        <v>210</v>
      </c>
      <c r="B21" s="7" t="s">
        <v>195</v>
      </c>
      <c r="C21" s="7" t="s">
        <v>176</v>
      </c>
      <c r="D21" s="7" t="n">
        <v>41218</v>
      </c>
      <c r="E21" s="7" t="n">
        <f aca="false">COUNTIF(newspaper_municipality_map!D:D,A21)</f>
        <v>0</v>
      </c>
      <c r="F21" s="7" t="n">
        <f aca="false">IF(D21&gt;0,E21/D21*10000,"")</f>
        <v>0</v>
      </c>
    </row>
    <row r="22" customFormat="false" ht="15" hidden="false" customHeight="true" outlineLevel="0" collapsed="false">
      <c r="A22" s="7" t="n">
        <v>217</v>
      </c>
      <c r="B22" s="7" t="s">
        <v>196</v>
      </c>
      <c r="C22" s="7" t="s">
        <v>176</v>
      </c>
      <c r="D22" s="7" t="n">
        <v>63569</v>
      </c>
      <c r="E22" s="7" t="n">
        <f aca="false">COUNTIF(newspaper_municipality_map!D:D,A22)</f>
        <v>0</v>
      </c>
      <c r="F22" s="7" t="n">
        <f aca="false">IF(D22&gt;0,E22/D22*10000,"")</f>
        <v>0</v>
      </c>
    </row>
    <row r="23" customFormat="false" ht="15" hidden="false" customHeight="true" outlineLevel="0" collapsed="false">
      <c r="A23" s="7" t="n">
        <v>219</v>
      </c>
      <c r="B23" s="7" t="s">
        <v>197</v>
      </c>
      <c r="C23" s="7" t="s">
        <v>176</v>
      </c>
      <c r="D23" s="7" t="n">
        <v>53101</v>
      </c>
      <c r="E23" s="7" t="n">
        <f aca="false">COUNTIF(newspaper_municipality_map!D:D,A23)</f>
        <v>0</v>
      </c>
      <c r="F23" s="7" t="n">
        <f aca="false">IF(D23&gt;0,E23/D23*10000,"")</f>
        <v>0</v>
      </c>
    </row>
    <row r="24" customFormat="false" ht="15" hidden="false" customHeight="true" outlineLevel="0" collapsed="false">
      <c r="A24" s="7" t="n">
        <v>223</v>
      </c>
      <c r="B24" s="7" t="s">
        <v>198</v>
      </c>
      <c r="C24" s="7" t="s">
        <v>176</v>
      </c>
      <c r="D24" s="7" t="n">
        <v>25203</v>
      </c>
      <c r="E24" s="7" t="n">
        <f aca="false">COUNTIF(newspaper_municipality_map!D:D,A24)</f>
        <v>0</v>
      </c>
      <c r="F24" s="7" t="n">
        <f aca="false">IF(D24&gt;0,E24/D24*10000,"")</f>
        <v>0</v>
      </c>
    </row>
    <row r="25" customFormat="false" ht="15" hidden="false" customHeight="true" outlineLevel="0" collapsed="false">
      <c r="A25" s="7" t="n">
        <v>230</v>
      </c>
      <c r="B25" s="7" t="s">
        <v>199</v>
      </c>
      <c r="C25" s="7" t="s">
        <v>176</v>
      </c>
      <c r="D25" s="7" t="n">
        <v>57100</v>
      </c>
      <c r="E25" s="7" t="n">
        <f aca="false">COUNTIF(newspaper_municipality_map!D:D,A25)</f>
        <v>0</v>
      </c>
      <c r="F25" s="7" t="n">
        <f aca="false">IF(D25&gt;0,E25/D25*10000,"")</f>
        <v>0</v>
      </c>
    </row>
    <row r="26" customFormat="false" ht="15" hidden="false" customHeight="true" outlineLevel="0" collapsed="false">
      <c r="A26" s="7" t="n">
        <v>240</v>
      </c>
      <c r="B26" s="7" t="s">
        <v>200</v>
      </c>
      <c r="C26" s="7" t="s">
        <v>176</v>
      </c>
      <c r="D26" s="7" t="n">
        <v>44106</v>
      </c>
      <c r="E26" s="7" t="n">
        <f aca="false">COUNTIF(newspaper_municipality_map!D:D,A26)</f>
        <v>0</v>
      </c>
      <c r="F26" s="7" t="n">
        <f aca="false">IF(D26&gt;0,E26/D26*10000,"")</f>
        <v>0</v>
      </c>
    </row>
    <row r="27" customFormat="false" ht="15" hidden="false" customHeight="true" outlineLevel="0" collapsed="false">
      <c r="A27" s="7" t="n">
        <v>250</v>
      </c>
      <c r="B27" s="7" t="s">
        <v>201</v>
      </c>
      <c r="C27" s="7" t="s">
        <v>176</v>
      </c>
      <c r="D27" s="7" t="n">
        <v>46013</v>
      </c>
      <c r="E27" s="7" t="n">
        <f aca="false">COUNTIF(newspaper_municipality_map!D:D,A27)</f>
        <v>0</v>
      </c>
      <c r="F27" s="7" t="n">
        <f aca="false">IF(D27&gt;0,E27/D27*10000,"")</f>
        <v>0</v>
      </c>
    </row>
    <row r="28" customFormat="false" ht="15" hidden="false" customHeight="true" outlineLevel="0" collapsed="false">
      <c r="A28" s="7" t="n">
        <v>260</v>
      </c>
      <c r="B28" s="7" t="s">
        <v>202</v>
      </c>
      <c r="C28" s="7" t="s">
        <v>176</v>
      </c>
      <c r="D28" s="7" t="n">
        <v>31683</v>
      </c>
      <c r="E28" s="7" t="n">
        <f aca="false">COUNTIF(newspaper_municipality_map!D:D,A28)</f>
        <v>0</v>
      </c>
      <c r="F28" s="7" t="n">
        <f aca="false">IF(D28&gt;0,E28/D28*10000,"")</f>
        <v>0</v>
      </c>
    </row>
    <row r="29" customFormat="false" ht="15" hidden="false" customHeight="true" outlineLevel="0" collapsed="false">
      <c r="A29" s="7" t="n">
        <v>270</v>
      </c>
      <c r="B29" s="7" t="s">
        <v>203</v>
      </c>
      <c r="C29" s="7" t="s">
        <v>176</v>
      </c>
      <c r="D29" s="7" t="n">
        <v>41709</v>
      </c>
      <c r="E29" s="7" t="n">
        <f aca="false">COUNTIF(newspaper_municipality_map!D:D,A29)</f>
        <v>0</v>
      </c>
      <c r="F29" s="7" t="n">
        <f aca="false">IF(D29&gt;0,E29/D29*10000,"")</f>
        <v>0</v>
      </c>
    </row>
    <row r="30" customFormat="false" ht="15" hidden="false" customHeight="true" outlineLevel="0" collapsed="false">
      <c r="A30" s="7" t="n">
        <v>400</v>
      </c>
      <c r="B30" s="7" t="s">
        <v>204</v>
      </c>
      <c r="C30" s="7" t="s">
        <v>176</v>
      </c>
      <c r="D30" s="7" t="n">
        <v>39295</v>
      </c>
      <c r="E30" s="7" t="n">
        <f aca="false">COUNTIF(newspaper_municipality_map!D:D,A30)</f>
        <v>0</v>
      </c>
      <c r="F30" s="7" t="n">
        <f aca="false">IF(D30&gt;0,E30/D30*10000,"")</f>
        <v>0</v>
      </c>
    </row>
    <row r="31" customFormat="false" ht="15" hidden="false" customHeight="true" outlineLevel="0" collapsed="false">
      <c r="A31" s="7" t="n">
        <v>253</v>
      </c>
      <c r="B31" s="7" t="s">
        <v>205</v>
      </c>
      <c r="C31" s="7" t="s">
        <v>206</v>
      </c>
      <c r="D31" s="7" t="n">
        <v>51403</v>
      </c>
      <c r="E31" s="7" t="n">
        <f aca="false">COUNTIF(newspaper_municipality_map!D:D,A31)</f>
        <v>0</v>
      </c>
      <c r="F31" s="7" t="n">
        <f aca="false">IF(D31&gt;0,E31/D31*10000,"")</f>
        <v>0</v>
      </c>
    </row>
    <row r="32" customFormat="false" ht="15" hidden="false" customHeight="true" outlineLevel="0" collapsed="false">
      <c r="A32" s="7" t="n">
        <v>259</v>
      </c>
      <c r="B32" s="7" t="s">
        <v>207</v>
      </c>
      <c r="C32" s="7" t="s">
        <v>206</v>
      </c>
      <c r="D32" s="7" t="n">
        <v>62177</v>
      </c>
      <c r="E32" s="7" t="n">
        <f aca="false">COUNTIF(newspaper_municipality_map!D:D,A32)</f>
        <v>0</v>
      </c>
      <c r="F32" s="7" t="n">
        <f aca="false">IF(D32&gt;0,E32/D32*10000,"")</f>
        <v>0</v>
      </c>
    </row>
    <row r="33" customFormat="false" ht="15" hidden="false" customHeight="true" outlineLevel="0" collapsed="false">
      <c r="A33" s="7" t="n">
        <v>265</v>
      </c>
      <c r="B33" s="7" t="s">
        <v>208</v>
      </c>
      <c r="C33" s="7" t="s">
        <v>206</v>
      </c>
      <c r="D33" s="7" t="n">
        <v>89101</v>
      </c>
      <c r="E33" s="7" t="n">
        <f aca="false">COUNTIF(newspaper_municipality_map!D:D,A33)</f>
        <v>0</v>
      </c>
      <c r="F33" s="7" t="n">
        <f aca="false">IF(D33&gt;0,E33/D33*10000,"")</f>
        <v>0</v>
      </c>
    </row>
    <row r="34" customFormat="false" ht="15" hidden="false" customHeight="true" outlineLevel="0" collapsed="false">
      <c r="A34" s="7" t="n">
        <v>269</v>
      </c>
      <c r="B34" s="7" t="s">
        <v>209</v>
      </c>
      <c r="C34" s="7" t="s">
        <v>206</v>
      </c>
      <c r="D34" s="7" t="n">
        <v>23498</v>
      </c>
      <c r="E34" s="7" t="n">
        <f aca="false">COUNTIF(newspaper_municipality_map!D:D,A34)</f>
        <v>0</v>
      </c>
      <c r="F34" s="7" t="n">
        <f aca="false">IF(D34&gt;0,E34/D34*10000,"")</f>
        <v>0</v>
      </c>
    </row>
    <row r="35" customFormat="false" ht="15" hidden="false" customHeight="true" outlineLevel="0" collapsed="false">
      <c r="A35" s="7" t="n">
        <v>306</v>
      </c>
      <c r="B35" s="7" t="s">
        <v>210</v>
      </c>
      <c r="C35" s="7" t="s">
        <v>206</v>
      </c>
      <c r="D35" s="7" t="n">
        <v>33246</v>
      </c>
      <c r="E35" s="7" t="n">
        <f aca="false">COUNTIF(newspaper_municipality_map!D:D,A35)</f>
        <v>0</v>
      </c>
      <c r="F35" s="7" t="n">
        <f aca="false">IF(D35&gt;0,E35/D35*10000,"")</f>
        <v>0</v>
      </c>
    </row>
    <row r="36" customFormat="false" ht="15" hidden="false" customHeight="true" outlineLevel="0" collapsed="false">
      <c r="A36" s="7" t="n">
        <v>316</v>
      </c>
      <c r="B36" s="7" t="s">
        <v>211</v>
      </c>
      <c r="C36" s="7" t="s">
        <v>206</v>
      </c>
      <c r="D36" s="7" t="n">
        <v>72024</v>
      </c>
      <c r="E36" s="7" t="n">
        <f aca="false">COUNTIF(newspaper_municipality_map!D:D,A36)</f>
        <v>0</v>
      </c>
      <c r="F36" s="7" t="n">
        <f aca="false">IF(D36&gt;0,E36/D36*10000,"")</f>
        <v>0</v>
      </c>
    </row>
    <row r="37" customFormat="false" ht="15" hidden="false" customHeight="true" outlineLevel="0" collapsed="false">
      <c r="A37" s="7" t="n">
        <v>320</v>
      </c>
      <c r="B37" s="7" t="s">
        <v>212</v>
      </c>
      <c r="C37" s="7" t="s">
        <v>206</v>
      </c>
      <c r="D37" s="7" t="n">
        <v>37165</v>
      </c>
      <c r="E37" s="7" t="n">
        <f aca="false">COUNTIF(newspaper_municipality_map!D:D,A37)</f>
        <v>0</v>
      </c>
      <c r="F37" s="7" t="n">
        <f aca="false">IF(D37&gt;0,E37/D37*10000,"")</f>
        <v>0</v>
      </c>
    </row>
    <row r="38" customFormat="false" ht="15" hidden="false" customHeight="true" outlineLevel="0" collapsed="false">
      <c r="A38" s="7" t="n">
        <v>326</v>
      </c>
      <c r="B38" s="7" t="s">
        <v>213</v>
      </c>
      <c r="C38" s="7" t="s">
        <v>206</v>
      </c>
      <c r="D38" s="7" t="n">
        <v>49198</v>
      </c>
      <c r="E38" s="7" t="n">
        <f aca="false">COUNTIF(newspaper_municipality_map!D:D,A38)</f>
        <v>0</v>
      </c>
      <c r="F38" s="7" t="n">
        <f aca="false">IF(D38&gt;0,E38/D38*10000,"")</f>
        <v>0</v>
      </c>
    </row>
    <row r="39" customFormat="false" ht="15" hidden="false" customHeight="true" outlineLevel="0" collapsed="false">
      <c r="A39" s="7" t="n">
        <v>329</v>
      </c>
      <c r="B39" s="7" t="s">
        <v>214</v>
      </c>
      <c r="C39" s="7" t="s">
        <v>206</v>
      </c>
      <c r="D39" s="7" t="n">
        <v>35297</v>
      </c>
      <c r="E39" s="7" t="n">
        <f aca="false">COUNTIF(newspaper_municipality_map!D:D,A39)</f>
        <v>0</v>
      </c>
      <c r="F39" s="7" t="n">
        <f aca="false">IF(D39&gt;0,E39/D39*10000,"")</f>
        <v>0</v>
      </c>
    </row>
    <row r="40" customFormat="false" ht="15" hidden="false" customHeight="true" outlineLevel="0" collapsed="false">
      <c r="A40" s="7" t="n">
        <v>330</v>
      </c>
      <c r="B40" s="7" t="s">
        <v>215</v>
      </c>
      <c r="C40" s="7" t="s">
        <v>206</v>
      </c>
      <c r="D40" s="7" t="n">
        <v>79961</v>
      </c>
      <c r="E40" s="7" t="n">
        <f aca="false">COUNTIF(newspaper_municipality_map!D:D,A40)</f>
        <v>0</v>
      </c>
      <c r="F40" s="7" t="n">
        <f aca="false">IF(D40&gt;0,E40/D40*10000,"")</f>
        <v>0</v>
      </c>
    </row>
    <row r="41" customFormat="false" ht="15" hidden="false" customHeight="true" outlineLevel="0" collapsed="false">
      <c r="A41" s="7" t="n">
        <v>336</v>
      </c>
      <c r="B41" s="7" t="s">
        <v>216</v>
      </c>
      <c r="C41" s="7" t="s">
        <v>206</v>
      </c>
      <c r="D41" s="7" t="n">
        <v>23232</v>
      </c>
      <c r="E41" s="7" t="n">
        <f aca="false">COUNTIF(newspaper_municipality_map!D:D,A41)</f>
        <v>0</v>
      </c>
      <c r="F41" s="7" t="n">
        <f aca="false">IF(D41&gt;0,E41/D41*10000,"")</f>
        <v>0</v>
      </c>
    </row>
    <row r="42" customFormat="false" ht="15" hidden="false" customHeight="true" outlineLevel="0" collapsed="false">
      <c r="A42" s="7" t="n">
        <v>340</v>
      </c>
      <c r="B42" s="7" t="s">
        <v>217</v>
      </c>
      <c r="C42" s="7" t="s">
        <v>206</v>
      </c>
      <c r="D42" s="7" t="n">
        <v>30249</v>
      </c>
      <c r="E42" s="7" t="n">
        <f aca="false">COUNTIF(newspaper_municipality_map!D:D,A42)</f>
        <v>0</v>
      </c>
      <c r="F42" s="7" t="n">
        <f aca="false">IF(D42&gt;0,E42/D42*10000,"")</f>
        <v>0</v>
      </c>
    </row>
    <row r="43" customFormat="false" ht="15" hidden="false" customHeight="true" outlineLevel="0" collapsed="false">
      <c r="A43" s="7" t="n">
        <v>350</v>
      </c>
      <c r="B43" s="7" t="s">
        <v>218</v>
      </c>
      <c r="C43" s="7" t="s">
        <v>206</v>
      </c>
      <c r="D43" s="7" t="n">
        <v>28509</v>
      </c>
      <c r="E43" s="7" t="n">
        <f aca="false">COUNTIF(newspaper_municipality_map!D:D,A43)</f>
        <v>0</v>
      </c>
      <c r="F43" s="7" t="n">
        <f aca="false">IF(D43&gt;0,E43/D43*10000,"")</f>
        <v>0</v>
      </c>
    </row>
    <row r="44" customFormat="false" ht="15" hidden="false" customHeight="true" outlineLevel="0" collapsed="false">
      <c r="A44" s="7" t="n">
        <v>360</v>
      </c>
      <c r="B44" s="7" t="s">
        <v>219</v>
      </c>
      <c r="C44" s="7" t="s">
        <v>206</v>
      </c>
      <c r="D44" s="7" t="n">
        <v>39882</v>
      </c>
      <c r="E44" s="7" t="n">
        <f aca="false">COUNTIF(newspaper_municipality_map!D:D,A44)</f>
        <v>0</v>
      </c>
      <c r="F44" s="7" t="n">
        <f aca="false">IF(D44&gt;0,E44/D44*10000,"")</f>
        <v>0</v>
      </c>
    </row>
    <row r="45" customFormat="false" ht="15" hidden="false" customHeight="true" outlineLevel="0" collapsed="false">
      <c r="A45" s="7" t="n">
        <v>370</v>
      </c>
      <c r="B45" s="7" t="s">
        <v>220</v>
      </c>
      <c r="C45" s="7" t="s">
        <v>206</v>
      </c>
      <c r="D45" s="7" t="n">
        <v>84204</v>
      </c>
      <c r="E45" s="7" t="n">
        <f aca="false">COUNTIF(newspaper_municipality_map!D:D,A45)</f>
        <v>0</v>
      </c>
      <c r="F45" s="7" t="n">
        <f aca="false">IF(D45&gt;0,E45/D45*10000,"")</f>
        <v>0</v>
      </c>
    </row>
    <row r="46" customFormat="false" ht="15" hidden="false" customHeight="true" outlineLevel="0" collapsed="false">
      <c r="A46" s="7" t="n">
        <v>376</v>
      </c>
      <c r="B46" s="7" t="s">
        <v>221</v>
      </c>
      <c r="C46" s="7" t="s">
        <v>206</v>
      </c>
      <c r="D46" s="7" t="n">
        <v>59798</v>
      </c>
      <c r="E46" s="7" t="n">
        <f aca="false">COUNTIF(newspaper_municipality_map!D:D,A46)</f>
        <v>0</v>
      </c>
      <c r="F46" s="7" t="n">
        <f aca="false">IF(D46&gt;0,E46/D46*10000,"")</f>
        <v>0</v>
      </c>
    </row>
    <row r="47" customFormat="false" ht="15" hidden="false" customHeight="true" outlineLevel="0" collapsed="false">
      <c r="A47" s="7" t="n">
        <v>390</v>
      </c>
      <c r="B47" s="7" t="s">
        <v>222</v>
      </c>
      <c r="C47" s="7" t="s">
        <v>206</v>
      </c>
      <c r="D47" s="7" t="n">
        <v>46747</v>
      </c>
      <c r="E47" s="7" t="n">
        <f aca="false">COUNTIF(newspaper_municipality_map!D:D,A47)</f>
        <v>0</v>
      </c>
      <c r="F47" s="7" t="n">
        <f aca="false">IF(D47&gt;0,E47/D47*10000,"")</f>
        <v>0</v>
      </c>
    </row>
    <row r="48" customFormat="false" ht="15" hidden="false" customHeight="true" outlineLevel="0" collapsed="false">
      <c r="A48" s="7" t="n">
        <v>410</v>
      </c>
      <c r="B48" s="7" t="s">
        <v>105</v>
      </c>
      <c r="C48" s="7" t="s">
        <v>17</v>
      </c>
      <c r="D48" s="7" t="n">
        <v>39333</v>
      </c>
      <c r="E48" s="7" t="n">
        <f aca="false">COUNTIF(newspaper_municipality_map!D:D,A48)</f>
        <v>2</v>
      </c>
      <c r="F48" s="7" t="n">
        <f aca="false">IF(D48&gt;0,E48/D48*10000,"")</f>
        <v>0.508478885414283</v>
      </c>
    </row>
    <row r="49" customFormat="false" ht="15" hidden="false" customHeight="true" outlineLevel="0" collapsed="false">
      <c r="A49" s="7" t="n">
        <v>420</v>
      </c>
      <c r="B49" s="7" t="s">
        <v>92</v>
      </c>
      <c r="C49" s="7" t="s">
        <v>17</v>
      </c>
      <c r="D49" s="7" t="n">
        <v>41245</v>
      </c>
      <c r="E49" s="7" t="n">
        <f aca="false">COUNTIF(newspaper_municipality_map!D:D,A49)</f>
        <v>2</v>
      </c>
      <c r="F49" s="7" t="n">
        <f aca="false">IF(D49&gt;0,E49/D49*10000,"")</f>
        <v>0.484907261486241</v>
      </c>
    </row>
    <row r="50" customFormat="false" ht="15" hidden="false" customHeight="true" outlineLevel="0" collapsed="false">
      <c r="A50" s="7" t="n">
        <v>430</v>
      </c>
      <c r="B50" s="7" t="s">
        <v>83</v>
      </c>
      <c r="C50" s="7" t="s">
        <v>17</v>
      </c>
      <c r="D50" s="7" t="n">
        <v>52089</v>
      </c>
      <c r="E50" s="7" t="n">
        <f aca="false">COUNTIF(newspaper_municipality_map!D:D,A50)</f>
        <v>3</v>
      </c>
      <c r="F50" s="7" t="n">
        <f aca="false">IF(D50&gt;0,E50/D50*10000,"")</f>
        <v>0.575937338017624</v>
      </c>
    </row>
    <row r="51" customFormat="false" ht="15" hidden="false" customHeight="true" outlineLevel="0" collapsed="false">
      <c r="A51" s="7" t="n">
        <v>440</v>
      </c>
      <c r="B51" s="7" t="s">
        <v>86</v>
      </c>
      <c r="C51" s="7" t="s">
        <v>17</v>
      </c>
      <c r="D51" s="7" t="n">
        <v>24158</v>
      </c>
      <c r="E51" s="7" t="n">
        <f aca="false">COUNTIF(newspaper_municipality_map!D:D,A51)</f>
        <v>2</v>
      </c>
      <c r="F51" s="7" t="n">
        <f aca="false">IF(D51&gt;0,E51/D51*10000,"")</f>
        <v>0.82788310290587</v>
      </c>
    </row>
    <row r="52" customFormat="false" ht="15" hidden="false" customHeight="true" outlineLevel="0" collapsed="false">
      <c r="A52" s="7" t="n">
        <v>450</v>
      </c>
      <c r="B52" s="7" t="s">
        <v>89</v>
      </c>
      <c r="C52" s="7" t="s">
        <v>17</v>
      </c>
      <c r="D52" s="7" t="n">
        <v>32727</v>
      </c>
      <c r="E52" s="7" t="n">
        <f aca="false">COUNTIF(newspaper_municipality_map!D:D,A52)</f>
        <v>2</v>
      </c>
      <c r="F52" s="7" t="n">
        <f aca="false">IF(D52&gt;0,E52/D52*10000,"")</f>
        <v>0.611116203746142</v>
      </c>
    </row>
    <row r="53" customFormat="false" ht="15" hidden="false" customHeight="true" outlineLevel="0" collapsed="false">
      <c r="A53" s="7" t="n">
        <v>461</v>
      </c>
      <c r="B53" s="7" t="s">
        <v>77</v>
      </c>
      <c r="C53" s="7" t="s">
        <v>17</v>
      </c>
      <c r="D53" s="7" t="n">
        <v>206883</v>
      </c>
      <c r="E53" s="7" t="n">
        <f aca="false">COUNTIF(newspaper_municipality_map!D:D,A53)</f>
        <v>2</v>
      </c>
      <c r="F53" s="7" t="n">
        <f aca="false">IF(D53&gt;0,E53/D53*10000,"")</f>
        <v>0.0966729987480847</v>
      </c>
    </row>
    <row r="54" customFormat="false" ht="15" hidden="false" customHeight="true" outlineLevel="0" collapsed="false">
      <c r="A54" s="7" t="n">
        <v>479</v>
      </c>
      <c r="B54" s="7" t="s">
        <v>80</v>
      </c>
      <c r="C54" s="7" t="s">
        <v>17</v>
      </c>
      <c r="D54" s="7" t="n">
        <v>59348</v>
      </c>
      <c r="E54" s="7" t="n">
        <f aca="false">COUNTIF(newspaper_municipality_map!D:D,A54)</f>
        <v>2</v>
      </c>
      <c r="F54" s="7" t="n">
        <f aca="false">IF(D54&gt;0,E54/D54*10000,"")</f>
        <v>0.336995349464177</v>
      </c>
    </row>
    <row r="55" customFormat="false" ht="15" hidden="false" customHeight="true" outlineLevel="0" collapsed="false">
      <c r="A55" s="7" t="n">
        <v>480</v>
      </c>
      <c r="B55" s="7" t="s">
        <v>95</v>
      </c>
      <c r="C55" s="7" t="s">
        <v>17</v>
      </c>
      <c r="D55" s="7" t="n">
        <v>29897</v>
      </c>
      <c r="E55" s="7" t="n">
        <f aca="false">COUNTIF(newspaper_municipality_map!D:D,A55)</f>
        <v>2</v>
      </c>
      <c r="F55" s="7" t="n">
        <f aca="false">IF(D55&gt;0,E55/D55*10000,"")</f>
        <v>0.668963441147941</v>
      </c>
    </row>
    <row r="56" customFormat="false" ht="15" hidden="false" customHeight="true" outlineLevel="0" collapsed="false">
      <c r="A56" s="7" t="n">
        <v>482</v>
      </c>
      <c r="B56" s="7" t="s">
        <v>102</v>
      </c>
      <c r="C56" s="7" t="s">
        <v>17</v>
      </c>
      <c r="D56" s="7" t="n">
        <v>12348</v>
      </c>
      <c r="E56" s="7" t="n">
        <f aca="false">COUNTIF(newspaper_municipality_map!D:D,A56)</f>
        <v>2</v>
      </c>
      <c r="F56" s="7" t="n">
        <f aca="false">IF(D56&gt;0,E56/D56*10000,"")</f>
        <v>1.61969549724652</v>
      </c>
    </row>
    <row r="57" customFormat="false" ht="15" hidden="false" customHeight="true" outlineLevel="0" collapsed="false">
      <c r="A57" s="7" t="n">
        <v>492</v>
      </c>
      <c r="B57" s="7" t="s">
        <v>134</v>
      </c>
      <c r="C57" s="7" t="s">
        <v>17</v>
      </c>
      <c r="D57" s="7" t="n">
        <v>5927</v>
      </c>
      <c r="E57" s="7" t="n">
        <f aca="false">COUNTIF(newspaper_municipality_map!D:D,A57)</f>
        <v>1</v>
      </c>
      <c r="F57" s="7" t="n">
        <f aca="false">IF(D57&gt;0,E57/D57*10000,"")</f>
        <v>1.68719419605197</v>
      </c>
    </row>
    <row r="58" customFormat="false" ht="15" hidden="false" customHeight="true" outlineLevel="0" collapsed="false">
      <c r="A58" s="7" t="n">
        <v>510</v>
      </c>
      <c r="B58" s="7" t="s">
        <v>16</v>
      </c>
      <c r="C58" s="7" t="s">
        <v>17</v>
      </c>
      <c r="D58" s="7" t="n">
        <v>56127</v>
      </c>
      <c r="E58" s="7" t="n">
        <f aca="false">COUNTIF(newspaper_municipality_map!D:D,A58)</f>
        <v>4</v>
      </c>
      <c r="F58" s="7" t="n">
        <f aca="false">IF(D58&gt;0,E58/D58*10000,"")</f>
        <v>0.712669481711119</v>
      </c>
    </row>
    <row r="59" customFormat="false" ht="15" hidden="false" customHeight="true" outlineLevel="0" collapsed="false">
      <c r="A59" s="7" t="n">
        <v>530</v>
      </c>
      <c r="B59" s="7" t="s">
        <v>49</v>
      </c>
      <c r="C59" s="7" t="s">
        <v>17</v>
      </c>
      <c r="D59" s="7" t="n">
        <v>26798</v>
      </c>
      <c r="E59" s="7" t="n">
        <f aca="false">COUNTIF(newspaper_municipality_map!D:D,A59)</f>
        <v>2</v>
      </c>
      <c r="F59" s="7" t="n">
        <f aca="false">IF(D59&gt;0,E59/D59*10000,"")</f>
        <v>0.746324352563624</v>
      </c>
    </row>
    <row r="60" customFormat="false" ht="15" hidden="false" customHeight="true" outlineLevel="0" collapsed="false">
      <c r="A60" s="7" t="n">
        <v>540</v>
      </c>
      <c r="B60" s="7" t="s">
        <v>30</v>
      </c>
      <c r="C60" s="7" t="s">
        <v>17</v>
      </c>
      <c r="D60" s="7" t="n">
        <v>73885</v>
      </c>
      <c r="E60" s="7" t="n">
        <f aca="false">COUNTIF(newspaper_municipality_map!D:D,A60)</f>
        <v>5</v>
      </c>
      <c r="F60" s="7" t="n">
        <f aca="false">IF(D60&gt;0,E60/D60*10000,"")</f>
        <v>0.676727346552074</v>
      </c>
    </row>
    <row r="61" customFormat="false" ht="15" hidden="false" customHeight="true" outlineLevel="0" collapsed="false">
      <c r="A61" s="7" t="n">
        <v>550</v>
      </c>
      <c r="B61" s="7" t="s">
        <v>34</v>
      </c>
      <c r="C61" s="7" t="s">
        <v>17</v>
      </c>
      <c r="D61" s="7" t="n">
        <v>37252</v>
      </c>
      <c r="E61" s="7" t="n">
        <f aca="false">COUNTIF(newspaper_municipality_map!D:D,A61)</f>
        <v>4</v>
      </c>
      <c r="F61" s="7" t="n">
        <f aca="false">IF(D61&gt;0,E61/D61*10000,"")</f>
        <v>1.07376785139053</v>
      </c>
    </row>
    <row r="62" customFormat="false" ht="15" hidden="false" customHeight="true" outlineLevel="0" collapsed="false">
      <c r="A62" s="7" t="n">
        <v>561</v>
      </c>
      <c r="B62" s="7" t="s">
        <v>40</v>
      </c>
      <c r="C62" s="7" t="s">
        <v>17</v>
      </c>
      <c r="D62" s="7" t="n">
        <v>116198</v>
      </c>
      <c r="E62" s="7" t="n">
        <f aca="false">COUNTIF(newspaper_municipality_map!D:D,A62)</f>
        <v>4</v>
      </c>
      <c r="F62" s="7" t="n">
        <f aca="false">IF(D62&gt;0,E62/D62*10000,"")</f>
        <v>0.34424000413088</v>
      </c>
    </row>
    <row r="63" customFormat="false" ht="15" hidden="false" customHeight="true" outlineLevel="0" collapsed="false">
      <c r="A63" s="7" t="n">
        <v>563</v>
      </c>
      <c r="B63" s="7" t="s">
        <v>223</v>
      </c>
      <c r="C63" s="7" t="s">
        <v>17</v>
      </c>
      <c r="D63" s="7" t="n">
        <v>3446</v>
      </c>
      <c r="E63" s="7" t="n">
        <f aca="false">COUNTIF(newspaper_municipality_map!D:D,A63)</f>
        <v>0</v>
      </c>
      <c r="F63" s="7" t="n">
        <f aca="false">IF(D63&gt;0,E63/D63*10000,"")</f>
        <v>0</v>
      </c>
    </row>
    <row r="64" customFormat="false" ht="15" hidden="false" customHeight="true" outlineLevel="0" collapsed="false">
      <c r="A64" s="7" t="n">
        <v>573</v>
      </c>
      <c r="B64" s="7" t="s">
        <v>43</v>
      </c>
      <c r="C64" s="7" t="s">
        <v>17</v>
      </c>
      <c r="D64" s="7" t="n">
        <v>50781</v>
      </c>
      <c r="E64" s="7" t="n">
        <f aca="false">COUNTIF(newspaper_municipality_map!D:D,A64)</f>
        <v>2</v>
      </c>
      <c r="F64" s="7" t="n">
        <f aca="false">IF(D64&gt;0,E64/D64*10000,"")</f>
        <v>0.393848092790611</v>
      </c>
    </row>
    <row r="65" customFormat="false" ht="15" hidden="false" customHeight="true" outlineLevel="0" collapsed="false">
      <c r="A65" s="7" t="n">
        <v>575</v>
      </c>
      <c r="B65" s="7" t="s">
        <v>46</v>
      </c>
      <c r="C65" s="7" t="s">
        <v>17</v>
      </c>
      <c r="D65" s="7" t="n">
        <v>43164</v>
      </c>
      <c r="E65" s="7" t="n">
        <f aca="false">COUNTIF(newspaper_municipality_map!D:D,A65)</f>
        <v>2</v>
      </c>
      <c r="F65" s="7" t="n">
        <f aca="false">IF(D65&gt;0,E65/D65*10000,"")</f>
        <v>0.463349087202298</v>
      </c>
    </row>
    <row r="66" customFormat="false" ht="15" hidden="false" customHeight="true" outlineLevel="0" collapsed="false">
      <c r="A66" s="7" t="n">
        <v>580</v>
      </c>
      <c r="B66" s="7" t="s">
        <v>25</v>
      </c>
      <c r="C66" s="7" t="s">
        <v>17</v>
      </c>
      <c r="D66" s="7" t="n">
        <v>59681</v>
      </c>
      <c r="E66" s="7" t="n">
        <f aca="false">COUNTIF(newspaper_municipality_map!D:D,A66)</f>
        <v>4</v>
      </c>
      <c r="F66" s="7" t="n">
        <f aca="false">IF(D66&gt;0,E66/D66*10000,"")</f>
        <v>0.670230056466882</v>
      </c>
    </row>
    <row r="67" customFormat="false" ht="15" hidden="false" customHeight="true" outlineLevel="0" collapsed="false">
      <c r="A67" s="7" t="n">
        <v>607</v>
      </c>
      <c r="B67" s="7" t="s">
        <v>61</v>
      </c>
      <c r="C67" s="7" t="s">
        <v>17</v>
      </c>
      <c r="D67" s="7" t="n">
        <v>52134</v>
      </c>
      <c r="E67" s="7" t="n">
        <f aca="false">COUNTIF(newspaper_municipality_map!D:D,A67)</f>
        <v>4</v>
      </c>
      <c r="F67" s="7" t="n">
        <f aca="false">IF(D67&gt;0,E67/D67*10000,"")</f>
        <v>0.767253615682664</v>
      </c>
    </row>
    <row r="68" customFormat="false" ht="15" hidden="false" customHeight="true" outlineLevel="0" collapsed="false">
      <c r="A68" s="7" t="n">
        <v>615</v>
      </c>
      <c r="B68" s="7" t="s">
        <v>73</v>
      </c>
      <c r="C68" s="7" t="s">
        <v>17</v>
      </c>
      <c r="D68" s="7" t="n">
        <v>92194</v>
      </c>
      <c r="E68" s="7" t="n">
        <f aca="false">COUNTIF(newspaper_municipality_map!D:D,A68)</f>
        <v>2</v>
      </c>
      <c r="F68" s="7" t="n">
        <f aca="false">IF(D68&gt;0,E68/D68*10000,"")</f>
        <v>0.216933856867041</v>
      </c>
    </row>
    <row r="69" customFormat="false" ht="15" hidden="false" customHeight="true" outlineLevel="0" collapsed="false">
      <c r="A69" s="7" t="n">
        <v>621</v>
      </c>
      <c r="B69" s="7" t="s">
        <v>37</v>
      </c>
      <c r="C69" s="7" t="s">
        <v>17</v>
      </c>
      <c r="D69" s="7" t="n">
        <v>94034</v>
      </c>
      <c r="E69" s="7" t="n">
        <f aca="false">COUNTIF(newspaper_municipality_map!D:D,A69)</f>
        <v>3</v>
      </c>
      <c r="F69" s="7" t="n">
        <f aca="false">IF(D69&gt;0,E69/D69*10000,"")</f>
        <v>0.319033541059617</v>
      </c>
    </row>
    <row r="70" customFormat="false" ht="15" hidden="false" customHeight="true" outlineLevel="0" collapsed="false">
      <c r="A70" s="7" t="n">
        <v>630</v>
      </c>
      <c r="B70" s="7" t="s">
        <v>52</v>
      </c>
      <c r="C70" s="7" t="s">
        <v>17</v>
      </c>
      <c r="D70" s="7" t="n">
        <v>118173</v>
      </c>
      <c r="E70" s="7" t="n">
        <f aca="false">COUNTIF(newspaper_municipality_map!D:D,A70)</f>
        <v>4</v>
      </c>
      <c r="F70" s="7" t="n">
        <f aca="false">IF(D70&gt;0,E70/D70*10000,"")</f>
        <v>0.338486794783919</v>
      </c>
    </row>
    <row r="71" customFormat="false" ht="15" hidden="false" customHeight="true" outlineLevel="0" collapsed="false">
      <c r="A71" s="7" t="n">
        <v>657</v>
      </c>
      <c r="B71" s="7" t="s">
        <v>224</v>
      </c>
      <c r="C71" s="7" t="s">
        <v>225</v>
      </c>
      <c r="D71" s="7" t="n">
        <v>90789</v>
      </c>
      <c r="E71" s="7" t="n">
        <f aca="false">COUNTIF(newspaper_municipality_map!D:D,A71)</f>
        <v>0</v>
      </c>
      <c r="F71" s="7" t="n">
        <f aca="false">IF(D71&gt;0,E71/D71*10000,"")</f>
        <v>0</v>
      </c>
    </row>
    <row r="72" customFormat="false" ht="15" hidden="false" customHeight="true" outlineLevel="0" collapsed="false">
      <c r="A72" s="7" t="n">
        <v>661</v>
      </c>
      <c r="B72" s="7" t="s">
        <v>226</v>
      </c>
      <c r="C72" s="7" t="s">
        <v>225</v>
      </c>
      <c r="D72" s="7" t="n">
        <v>59238</v>
      </c>
      <c r="E72" s="7" t="n">
        <f aca="false">COUNTIF(newspaper_municipality_map!D:D,A72)</f>
        <v>0</v>
      </c>
      <c r="F72" s="7" t="n">
        <f aca="false">IF(D72&gt;0,E72/D72*10000,"")</f>
        <v>0</v>
      </c>
    </row>
    <row r="73" customFormat="false" ht="15" hidden="false" customHeight="true" outlineLevel="0" collapsed="false">
      <c r="A73" s="7" t="n">
        <v>665</v>
      </c>
      <c r="B73" s="7" t="s">
        <v>227</v>
      </c>
      <c r="C73" s="7" t="s">
        <v>225</v>
      </c>
      <c r="D73" s="7" t="n">
        <v>19934</v>
      </c>
      <c r="E73" s="7" t="n">
        <f aca="false">COUNTIF(newspaper_municipality_map!D:D,A73)</f>
        <v>0</v>
      </c>
      <c r="F73" s="7" t="n">
        <f aca="false">IF(D73&gt;0,E73/D73*10000,"")</f>
        <v>0</v>
      </c>
    </row>
    <row r="74" customFormat="false" ht="15" hidden="false" customHeight="true" outlineLevel="0" collapsed="false">
      <c r="A74" s="7" t="n">
        <v>671</v>
      </c>
      <c r="B74" s="7" t="s">
        <v>228</v>
      </c>
      <c r="C74" s="7" t="s">
        <v>225</v>
      </c>
      <c r="D74" s="7" t="n">
        <v>21005</v>
      </c>
      <c r="E74" s="7" t="n">
        <f aca="false">COUNTIF(newspaper_municipality_map!D:D,A74)</f>
        <v>0</v>
      </c>
      <c r="F74" s="7" t="n">
        <f aca="false">IF(D74&gt;0,E74/D74*10000,"")</f>
        <v>0</v>
      </c>
    </row>
    <row r="75" customFormat="false" ht="15" hidden="false" customHeight="true" outlineLevel="0" collapsed="false">
      <c r="A75" s="7" t="n">
        <v>706</v>
      </c>
      <c r="B75" s="7" t="s">
        <v>229</v>
      </c>
      <c r="C75" s="7" t="s">
        <v>225</v>
      </c>
      <c r="D75" s="7" t="n">
        <v>43406</v>
      </c>
      <c r="E75" s="7" t="n">
        <f aca="false">COUNTIF(newspaper_municipality_map!D:D,A75)</f>
        <v>0</v>
      </c>
      <c r="F75" s="7" t="n">
        <f aca="false">IF(D75&gt;0,E75/D75*10000,"")</f>
        <v>0</v>
      </c>
    </row>
    <row r="76" customFormat="false" ht="15" hidden="false" customHeight="true" outlineLevel="0" collapsed="false">
      <c r="A76" s="7" t="n">
        <v>707</v>
      </c>
      <c r="B76" s="7" t="s">
        <v>230</v>
      </c>
      <c r="C76" s="7" t="s">
        <v>225</v>
      </c>
      <c r="D76" s="7" t="n">
        <v>37105</v>
      </c>
      <c r="E76" s="7" t="n">
        <f aca="false">COUNTIF(newspaper_municipality_map!D:D,A76)</f>
        <v>0</v>
      </c>
      <c r="F76" s="7" t="n">
        <f aca="false">IF(D76&gt;0,E76/D76*10000,"")</f>
        <v>0</v>
      </c>
    </row>
    <row r="77" customFormat="false" ht="15" hidden="false" customHeight="true" outlineLevel="0" collapsed="false">
      <c r="A77" s="7" t="n">
        <v>710</v>
      </c>
      <c r="B77" s="7" t="s">
        <v>231</v>
      </c>
      <c r="C77" s="7" t="s">
        <v>225</v>
      </c>
      <c r="D77" s="7" t="n">
        <v>49412</v>
      </c>
      <c r="E77" s="7" t="n">
        <f aca="false">COUNTIF(newspaper_municipality_map!D:D,A77)</f>
        <v>0</v>
      </c>
      <c r="F77" s="7" t="n">
        <f aca="false">IF(D77&gt;0,E77/D77*10000,"")</f>
        <v>0</v>
      </c>
    </row>
    <row r="78" customFormat="false" ht="15" hidden="false" customHeight="true" outlineLevel="0" collapsed="false">
      <c r="A78" s="7" t="n">
        <v>727</v>
      </c>
      <c r="B78" s="7" t="s">
        <v>232</v>
      </c>
      <c r="C78" s="7" t="s">
        <v>225</v>
      </c>
      <c r="D78" s="7" t="n">
        <v>23439</v>
      </c>
      <c r="E78" s="7" t="n">
        <f aca="false">COUNTIF(newspaper_municipality_map!D:D,A78)</f>
        <v>0</v>
      </c>
      <c r="F78" s="7" t="n">
        <f aca="false">IF(D78&gt;0,E78/D78*10000,"")</f>
        <v>0</v>
      </c>
    </row>
    <row r="79" customFormat="false" ht="15" hidden="false" customHeight="true" outlineLevel="0" collapsed="false">
      <c r="A79" s="7" t="n">
        <v>730</v>
      </c>
      <c r="B79" s="7" t="s">
        <v>233</v>
      </c>
      <c r="C79" s="7" t="s">
        <v>225</v>
      </c>
      <c r="D79" s="7" t="n">
        <v>98817</v>
      </c>
      <c r="E79" s="7" t="n">
        <f aca="false">COUNTIF(newspaper_municipality_map!D:D,A79)</f>
        <v>0</v>
      </c>
      <c r="F79" s="7" t="n">
        <f aca="false">IF(D79&gt;0,E79/D79*10000,"")</f>
        <v>0</v>
      </c>
    </row>
    <row r="80" customFormat="false" ht="15" hidden="false" customHeight="true" outlineLevel="0" collapsed="false">
      <c r="A80" s="7" t="n">
        <v>740</v>
      </c>
      <c r="B80" s="7" t="s">
        <v>234</v>
      </c>
      <c r="C80" s="7" t="s">
        <v>225</v>
      </c>
      <c r="D80" s="7" t="n">
        <v>95920</v>
      </c>
      <c r="E80" s="7" t="n">
        <f aca="false">COUNTIF(newspaper_municipality_map!D:D,A80)</f>
        <v>0</v>
      </c>
      <c r="F80" s="7" t="n">
        <f aca="false">IF(D80&gt;0,E80/D80*10000,"")</f>
        <v>0</v>
      </c>
    </row>
    <row r="81" customFormat="false" ht="15" hidden="false" customHeight="true" outlineLevel="0" collapsed="false">
      <c r="A81" s="7" t="n">
        <v>741</v>
      </c>
      <c r="B81" s="7" t="s">
        <v>235</v>
      </c>
      <c r="C81" s="7" t="s">
        <v>225</v>
      </c>
      <c r="D81" s="7" t="n">
        <v>3647</v>
      </c>
      <c r="E81" s="7" t="n">
        <f aca="false">COUNTIF(newspaper_municipality_map!D:D,A81)</f>
        <v>0</v>
      </c>
      <c r="F81" s="7" t="n">
        <f aca="false">IF(D81&gt;0,E81/D81*10000,"")</f>
        <v>0</v>
      </c>
    </row>
    <row r="82" customFormat="false" ht="15" hidden="false" customHeight="true" outlineLevel="0" collapsed="false">
      <c r="A82" s="7" t="n">
        <v>746</v>
      </c>
      <c r="B82" s="7" t="s">
        <v>236</v>
      </c>
      <c r="C82" s="7" t="s">
        <v>225</v>
      </c>
      <c r="D82" s="7" t="n">
        <v>63259</v>
      </c>
      <c r="E82" s="7" t="n">
        <f aca="false">COUNTIF(newspaper_municipality_map!D:D,A82)</f>
        <v>0</v>
      </c>
      <c r="F82" s="7" t="n">
        <f aca="false">IF(D82&gt;0,E82/D82*10000,"")</f>
        <v>0</v>
      </c>
    </row>
    <row r="83" customFormat="false" ht="15" hidden="false" customHeight="true" outlineLevel="0" collapsed="false">
      <c r="A83" s="7" t="n">
        <v>751</v>
      </c>
      <c r="B83" s="7" t="s">
        <v>237</v>
      </c>
      <c r="C83" s="7" t="s">
        <v>225</v>
      </c>
      <c r="D83" s="7" t="n">
        <v>356342</v>
      </c>
      <c r="E83" s="7" t="n">
        <f aca="false">COUNTIF(newspaper_municipality_map!D:D,A83)</f>
        <v>0</v>
      </c>
      <c r="F83" s="7" t="n">
        <f aca="false">IF(D83&gt;0,E83/D83*10000,"")</f>
        <v>0</v>
      </c>
    </row>
    <row r="84" customFormat="false" ht="15" hidden="false" customHeight="true" outlineLevel="0" collapsed="false">
      <c r="A84" s="7" t="n">
        <v>756</v>
      </c>
      <c r="B84" s="7" t="s">
        <v>238</v>
      </c>
      <c r="C84" s="7" t="s">
        <v>225</v>
      </c>
      <c r="D84" s="7" t="n">
        <v>41868</v>
      </c>
      <c r="E84" s="7" t="n">
        <f aca="false">COUNTIF(newspaper_municipality_map!D:D,A84)</f>
        <v>0</v>
      </c>
      <c r="F84" s="7" t="n">
        <f aca="false">IF(D84&gt;0,E84/D84*10000,"")</f>
        <v>0</v>
      </c>
    </row>
    <row r="85" customFormat="false" ht="15" hidden="false" customHeight="true" outlineLevel="0" collapsed="false">
      <c r="A85" s="7" t="n">
        <v>760</v>
      </c>
      <c r="B85" s="7" t="s">
        <v>239</v>
      </c>
      <c r="C85" s="7" t="s">
        <v>225</v>
      </c>
      <c r="D85" s="7" t="n">
        <v>56738</v>
      </c>
      <c r="E85" s="7" t="n">
        <f aca="false">COUNTIF(newspaper_municipality_map!D:D,A85)</f>
        <v>0</v>
      </c>
      <c r="F85" s="7" t="n">
        <f aca="false">IF(D85&gt;0,E85/D85*10000,"")</f>
        <v>0</v>
      </c>
    </row>
    <row r="86" customFormat="false" ht="15" hidden="false" customHeight="true" outlineLevel="0" collapsed="false">
      <c r="A86" s="7" t="n">
        <v>766</v>
      </c>
      <c r="B86" s="7" t="s">
        <v>240</v>
      </c>
      <c r="C86" s="7" t="s">
        <v>225</v>
      </c>
      <c r="D86" s="7" t="n">
        <v>47602</v>
      </c>
      <c r="E86" s="7" t="n">
        <f aca="false">COUNTIF(newspaper_municipality_map!D:D,A86)</f>
        <v>0</v>
      </c>
      <c r="F86" s="7" t="n">
        <f aca="false">IF(D86&gt;0,E86/D86*10000,"")</f>
        <v>0</v>
      </c>
    </row>
    <row r="87" customFormat="false" ht="15" hidden="false" customHeight="true" outlineLevel="0" collapsed="false">
      <c r="A87" s="7" t="n">
        <v>773</v>
      </c>
      <c r="B87" s="7" t="s">
        <v>241</v>
      </c>
      <c r="C87" s="7" t="s">
        <v>225</v>
      </c>
      <c r="D87" s="7" t="n">
        <v>20047</v>
      </c>
      <c r="E87" s="7" t="n">
        <f aca="false">COUNTIF(newspaper_municipality_map!D:D,A87)</f>
        <v>0</v>
      </c>
      <c r="F87" s="7" t="n">
        <f aca="false">IF(D87&gt;0,E87/D87*10000,"")</f>
        <v>0</v>
      </c>
    </row>
    <row r="88" customFormat="false" ht="15" hidden="false" customHeight="true" outlineLevel="0" collapsed="false">
      <c r="A88" s="7" t="n">
        <v>779</v>
      </c>
      <c r="B88" s="7" t="s">
        <v>242</v>
      </c>
      <c r="C88" s="7" t="s">
        <v>225</v>
      </c>
      <c r="D88" s="7" t="n">
        <v>45920</v>
      </c>
      <c r="E88" s="7" t="n">
        <f aca="false">COUNTIF(newspaper_municipality_map!D:D,A88)</f>
        <v>0</v>
      </c>
      <c r="F88" s="7" t="n">
        <f aca="false">IF(D88&gt;0,E88/D88*10000,"")</f>
        <v>0</v>
      </c>
    </row>
    <row r="89" customFormat="false" ht="15" hidden="false" customHeight="true" outlineLevel="0" collapsed="false">
      <c r="A89" s="7" t="n">
        <v>787</v>
      </c>
      <c r="B89" s="7" t="s">
        <v>243</v>
      </c>
      <c r="C89" s="7" t="s">
        <v>225</v>
      </c>
      <c r="D89" s="7" t="n">
        <v>43227</v>
      </c>
      <c r="E89" s="7" t="n">
        <f aca="false">COUNTIF(newspaper_municipality_map!D:D,A89)</f>
        <v>0</v>
      </c>
      <c r="F89" s="7" t="n">
        <f aca="false">IF(D89&gt;0,E89/D89*10000,"")</f>
        <v>0</v>
      </c>
    </row>
    <row r="90" customFormat="false" ht="15" hidden="false" customHeight="true" outlineLevel="0" collapsed="false">
      <c r="A90" s="7" t="n">
        <v>791</v>
      </c>
      <c r="B90" s="7" t="s">
        <v>244</v>
      </c>
      <c r="C90" s="7" t="s">
        <v>225</v>
      </c>
      <c r="D90" s="7" t="n">
        <v>99072</v>
      </c>
      <c r="E90" s="7" t="n">
        <f aca="false">COUNTIF(newspaper_municipality_map!D:D,A90)</f>
        <v>0</v>
      </c>
      <c r="F90" s="7" t="n">
        <f aca="false">IF(D90&gt;0,E90/D90*10000,"")</f>
        <v>0</v>
      </c>
    </row>
    <row r="91" customFormat="false" ht="15" hidden="false" customHeight="true" outlineLevel="0" collapsed="false">
      <c r="A91" s="7" t="n">
        <v>810</v>
      </c>
      <c r="B91" s="7" t="s">
        <v>245</v>
      </c>
      <c r="C91" s="7" t="s">
        <v>246</v>
      </c>
      <c r="D91" s="7" t="n">
        <v>36671</v>
      </c>
      <c r="E91" s="7" t="n">
        <f aca="false">COUNTIF(newspaper_municipality_map!D:D,A91)</f>
        <v>0</v>
      </c>
      <c r="F91" s="7" t="n">
        <f aca="false">IF(D91&gt;0,E91/D91*10000,"")</f>
        <v>0</v>
      </c>
    </row>
    <row r="92" customFormat="false" ht="15" hidden="false" customHeight="true" outlineLevel="0" collapsed="false">
      <c r="A92" s="7" t="n">
        <v>813</v>
      </c>
      <c r="B92" s="7" t="s">
        <v>247</v>
      </c>
      <c r="C92" s="7" t="s">
        <v>246</v>
      </c>
      <c r="D92" s="7" t="n">
        <v>59355</v>
      </c>
      <c r="E92" s="7" t="n">
        <f aca="false">COUNTIF(newspaper_municipality_map!D:D,A92)</f>
        <v>0</v>
      </c>
      <c r="F92" s="7" t="n">
        <f aca="false">IF(D92&gt;0,E92/D92*10000,"")</f>
        <v>0</v>
      </c>
    </row>
    <row r="93" customFormat="false" ht="15" hidden="false" customHeight="true" outlineLevel="0" collapsed="false">
      <c r="A93" s="7" t="n">
        <v>820</v>
      </c>
      <c r="B93" s="7" t="s">
        <v>248</v>
      </c>
      <c r="C93" s="7" t="s">
        <v>246</v>
      </c>
      <c r="D93" s="7" t="n">
        <v>36541</v>
      </c>
      <c r="E93" s="7" t="n">
        <f aca="false">COUNTIF(newspaper_municipality_map!D:D,A93)</f>
        <v>0</v>
      </c>
      <c r="F93" s="7" t="n">
        <f aca="false">IF(D93&gt;0,E93/D93*10000,"")</f>
        <v>0</v>
      </c>
    </row>
    <row r="94" customFormat="false" ht="15" hidden="false" customHeight="true" outlineLevel="0" collapsed="false">
      <c r="A94" s="7" t="n">
        <v>825</v>
      </c>
      <c r="B94" s="7" t="s">
        <v>249</v>
      </c>
      <c r="C94" s="7" t="s">
        <v>246</v>
      </c>
      <c r="D94" s="7" t="n">
        <v>1802</v>
      </c>
      <c r="E94" s="7" t="n">
        <f aca="false">COUNTIF(newspaper_municipality_map!D:D,A94)</f>
        <v>0</v>
      </c>
      <c r="F94" s="7" t="n">
        <f aca="false">IF(D94&gt;0,E94/D94*10000,"")</f>
        <v>0</v>
      </c>
    </row>
    <row r="95" customFormat="false" ht="15" hidden="false" customHeight="true" outlineLevel="0" collapsed="false">
      <c r="A95" s="7" t="n">
        <v>840</v>
      </c>
      <c r="B95" s="7" t="s">
        <v>250</v>
      </c>
      <c r="C95" s="7" t="s">
        <v>246</v>
      </c>
      <c r="D95" s="7" t="n">
        <v>30439</v>
      </c>
      <c r="E95" s="7" t="n">
        <f aca="false">COUNTIF(newspaper_municipality_map!D:D,A95)</f>
        <v>0</v>
      </c>
      <c r="F95" s="7" t="n">
        <f aca="false">IF(D95&gt;0,E95/D95*10000,"")</f>
        <v>0</v>
      </c>
    </row>
    <row r="96" customFormat="false" ht="15" hidden="false" customHeight="true" outlineLevel="0" collapsed="false">
      <c r="A96" s="7" t="n">
        <v>846</v>
      </c>
      <c r="B96" s="7" t="s">
        <v>251</v>
      </c>
      <c r="C96" s="7" t="s">
        <v>246</v>
      </c>
      <c r="D96" s="7" t="n">
        <v>42693</v>
      </c>
      <c r="E96" s="7" t="n">
        <f aca="false">COUNTIF(newspaper_municipality_map!D:D,A96)</f>
        <v>0</v>
      </c>
      <c r="F96" s="7" t="n">
        <f aca="false">IF(D96&gt;0,E96/D96*10000,"")</f>
        <v>0</v>
      </c>
    </row>
    <row r="97" customFormat="false" ht="15" hidden="false" customHeight="true" outlineLevel="0" collapsed="false">
      <c r="A97" s="7" t="n">
        <v>849</v>
      </c>
      <c r="B97" s="7" t="s">
        <v>252</v>
      </c>
      <c r="C97" s="7" t="s">
        <v>246</v>
      </c>
      <c r="D97" s="7" t="n">
        <v>38398</v>
      </c>
      <c r="E97" s="7" t="n">
        <f aca="false">COUNTIF(newspaper_municipality_map!D:D,A97)</f>
        <v>0</v>
      </c>
      <c r="F97" s="7" t="n">
        <f aca="false">IF(D97&gt;0,E97/D97*10000,"")</f>
        <v>0</v>
      </c>
    </row>
    <row r="98" customFormat="false" ht="15" hidden="false" customHeight="true" outlineLevel="0" collapsed="false">
      <c r="A98" s="7" t="n">
        <v>851</v>
      </c>
      <c r="B98" s="7" t="s">
        <v>253</v>
      </c>
      <c r="C98" s="7" t="s">
        <v>246</v>
      </c>
      <c r="D98" s="7" t="n">
        <v>220584</v>
      </c>
      <c r="E98" s="7" t="n">
        <f aca="false">COUNTIF(newspaper_municipality_map!D:D,A98)</f>
        <v>0</v>
      </c>
      <c r="F98" s="7" t="n">
        <f aca="false">IF(D98&gt;0,E98/D98*10000,"")</f>
        <v>0</v>
      </c>
    </row>
    <row r="99" customFormat="false" ht="15" hidden="false" customHeight="true" outlineLevel="0" collapsed="false">
      <c r="A99" s="7" t="n">
        <v>860</v>
      </c>
      <c r="B99" s="7" t="s">
        <v>254</v>
      </c>
      <c r="C99" s="7" t="s">
        <v>246</v>
      </c>
      <c r="D99" s="7" t="n">
        <v>64832</v>
      </c>
      <c r="E99" s="7" t="n">
        <f aca="false">COUNTIF(newspaper_municipality_map!D:D,A99)</f>
        <v>0</v>
      </c>
      <c r="F99" s="7" t="n">
        <f aca="false">IF(D99&gt;0,E99/D99*10000,"")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2026-04-02T09:18:36Z</dcterms:created>
  <dc:creator>openpyxl</dc:creator>
  <dc:description/>
  <dc:language>en-US</dc:language>
  <cp:lastModifiedBy/>
  <dcterms:modified xsi:type="dcterms:W3CDTF">2026-04-02T10:06:24Z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